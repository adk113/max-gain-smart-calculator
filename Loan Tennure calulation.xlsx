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oeing-my.sharepoint.us/personal/aditya_kumar2_boeing_com/Documents/Aditya/Personal/Excel Calc/"/>
    </mc:Choice>
  </mc:AlternateContent>
  <xr:revisionPtr revIDLastSave="9" documentId="13_ncr:1_{57A5D924-DDFE-40D3-B9E4-B72DEEEEC8D0}" xr6:coauthVersionLast="47" xr6:coauthVersionMax="47" xr10:uidLastSave="{20F8BF90-D500-4DAF-8F86-75A2608755DC}"/>
  <bookViews>
    <workbookView xWindow="-108" yWindow="-108" windowWidth="23256" windowHeight="12456" xr2:uid="{00000000-000D-0000-FFFF-FFFF00000000}"/>
  </bookViews>
  <sheets>
    <sheet name="Loan Tennure calulation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2" l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3" i="2"/>
  <c r="A22" i="2"/>
  <c r="D18" i="2" l="1"/>
  <c r="C18" i="2" l="1"/>
  <c r="D23" i="2" l="1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2" i="2"/>
  <c r="H21" i="2"/>
  <c r="C22" i="2" s="1"/>
  <c r="E22" i="2" l="1"/>
  <c r="G22" i="2" l="1"/>
  <c r="H22" i="2" l="1"/>
  <c r="E23" i="2" l="1"/>
  <c r="C23" i="2"/>
  <c r="G23" i="2" l="1"/>
  <c r="H23" i="2" l="1"/>
  <c r="E24" i="2" l="1"/>
  <c r="C24" i="2"/>
  <c r="G24" i="2" l="1"/>
  <c r="H24" i="2" s="1"/>
  <c r="C25" i="2" l="1"/>
  <c r="E25" i="2"/>
  <c r="G25" i="2" l="1"/>
  <c r="H25" i="2" s="1"/>
  <c r="C26" i="2" s="1"/>
  <c r="E26" i="2" l="1"/>
  <c r="G26" i="2" s="1"/>
  <c r="H26" i="2" s="1"/>
  <c r="C27" i="2" s="1"/>
  <c r="E27" i="2" l="1"/>
  <c r="G27" i="2" s="1"/>
  <c r="H27" i="2" s="1"/>
  <c r="C28" i="2" l="1"/>
  <c r="E28" i="2"/>
  <c r="G28" i="2" l="1"/>
  <c r="H28" i="2" s="1"/>
  <c r="C29" i="2" s="1"/>
  <c r="E29" i="2" l="1"/>
  <c r="G29" i="2" s="1"/>
  <c r="H29" i="2" s="1"/>
  <c r="E30" i="2" l="1"/>
  <c r="C30" i="2"/>
  <c r="G30" i="2" l="1"/>
  <c r="H30" i="2" s="1"/>
  <c r="E31" i="2" s="1"/>
  <c r="C31" i="2" l="1"/>
  <c r="G31" i="2" s="1"/>
  <c r="H31" i="2" s="1"/>
  <c r="C32" i="2" l="1"/>
  <c r="E32" i="2"/>
  <c r="G32" i="2" l="1"/>
  <c r="H32" i="2" s="1"/>
  <c r="C33" i="2" s="1"/>
  <c r="E33" i="2" l="1"/>
  <c r="G33" i="2" s="1"/>
  <c r="H33" i="2" s="1"/>
  <c r="E34" i="2" l="1"/>
  <c r="C34" i="2"/>
  <c r="G34" i="2" l="1"/>
  <c r="H34" i="2" s="1"/>
  <c r="C35" i="2" l="1"/>
  <c r="E35" i="2"/>
  <c r="G35" i="2" l="1"/>
  <c r="H35" i="2" s="1"/>
  <c r="E36" i="2" l="1"/>
  <c r="C36" i="2"/>
  <c r="G36" i="2" l="1"/>
  <c r="H36" i="2" s="1"/>
  <c r="C37" i="2" l="1"/>
  <c r="E37" i="2"/>
  <c r="G37" i="2" l="1"/>
  <c r="H37" i="2" s="1"/>
  <c r="C38" i="2" l="1"/>
  <c r="E38" i="2"/>
  <c r="G38" i="2" l="1"/>
  <c r="H38" i="2" s="1"/>
  <c r="E39" i="2" s="1"/>
  <c r="C39" i="2" l="1"/>
  <c r="G39" i="2" s="1"/>
  <c r="H39" i="2" s="1"/>
  <c r="C40" i="2" l="1"/>
  <c r="E40" i="2"/>
  <c r="G40" i="2" l="1"/>
  <c r="H40" i="2" s="1"/>
  <c r="C41" i="2" s="1"/>
  <c r="E41" i="2" l="1"/>
  <c r="G41" i="2" s="1"/>
  <c r="H41" i="2" s="1"/>
  <c r="C42" i="2" s="1"/>
  <c r="E42" i="2" l="1"/>
  <c r="G42" i="2" s="1"/>
  <c r="H42" i="2" s="1"/>
  <c r="C43" i="2" s="1"/>
  <c r="E43" i="2" l="1"/>
  <c r="G43" i="2" s="1"/>
  <c r="H43" i="2" s="1"/>
  <c r="C44" i="2" l="1"/>
  <c r="E44" i="2"/>
  <c r="G44" i="2" l="1"/>
  <c r="H44" i="2" s="1"/>
  <c r="E45" i="2" s="1"/>
  <c r="C45" i="2" l="1"/>
  <c r="G45" i="2" s="1"/>
  <c r="H45" i="2" s="1"/>
  <c r="E46" i="2" l="1"/>
  <c r="C46" i="2"/>
  <c r="G46" i="2" l="1"/>
  <c r="H46" i="2" s="1"/>
  <c r="C47" i="2" l="1"/>
  <c r="E47" i="2"/>
  <c r="G47" i="2" l="1"/>
  <c r="H47" i="2" s="1"/>
  <c r="E48" i="2" l="1"/>
  <c r="C48" i="2"/>
  <c r="G48" i="2" l="1"/>
  <c r="H48" i="2" s="1"/>
  <c r="C49" i="2" l="1"/>
  <c r="E49" i="2"/>
  <c r="G49" i="2" l="1"/>
  <c r="H49" i="2" s="1"/>
  <c r="C50" i="2" l="1"/>
  <c r="E50" i="2"/>
  <c r="G50" i="2" l="1"/>
  <c r="H50" i="2" s="1"/>
  <c r="E51" i="2" s="1"/>
  <c r="C51" i="2" l="1"/>
  <c r="G51" i="2" s="1"/>
  <c r="H51" i="2" s="1"/>
  <c r="C52" i="2" l="1"/>
  <c r="E52" i="2"/>
  <c r="G52" i="2" l="1"/>
  <c r="H52" i="2" s="1"/>
  <c r="C53" i="2" l="1"/>
  <c r="E53" i="2"/>
  <c r="G53" i="2" l="1"/>
  <c r="H53" i="2" s="1"/>
  <c r="C54" i="2" l="1"/>
  <c r="E54" i="2"/>
  <c r="G54" i="2" l="1"/>
  <c r="H54" i="2" s="1"/>
  <c r="C55" i="2" l="1"/>
  <c r="E55" i="2"/>
  <c r="G55" i="2" l="1"/>
  <c r="H55" i="2" s="1"/>
  <c r="C56" i="2" s="1"/>
  <c r="E56" i="2" l="1"/>
  <c r="G56" i="2" s="1"/>
  <c r="H56" i="2" s="1"/>
  <c r="C57" i="2" s="1"/>
  <c r="E57" i="2" l="1"/>
  <c r="G57" i="2" s="1"/>
  <c r="H57" i="2" s="1"/>
  <c r="C58" i="2" l="1"/>
  <c r="E58" i="2"/>
  <c r="G58" i="2" l="1"/>
  <c r="H58" i="2" s="1"/>
  <c r="E59" i="2" s="1"/>
  <c r="C59" i="2" l="1"/>
  <c r="G59" i="2" s="1"/>
  <c r="H59" i="2" s="1"/>
  <c r="C60" i="2" l="1"/>
  <c r="E60" i="2"/>
  <c r="G60" i="2" l="1"/>
  <c r="H60" i="2" s="1"/>
  <c r="C61" i="2" l="1"/>
  <c r="E61" i="2"/>
  <c r="G61" i="2" l="1"/>
  <c r="H61" i="2" s="1"/>
  <c r="C62" i="2" l="1"/>
  <c r="E62" i="2"/>
  <c r="G62" i="2" l="1"/>
  <c r="H62" i="2" s="1"/>
  <c r="C63" i="2" s="1"/>
  <c r="E63" i="2" l="1"/>
  <c r="G63" i="2" s="1"/>
  <c r="H63" i="2" s="1"/>
  <c r="C64" i="2" l="1"/>
  <c r="E64" i="2"/>
  <c r="G64" i="2" l="1"/>
  <c r="H64" i="2" s="1"/>
  <c r="E65" i="2" l="1"/>
  <c r="C65" i="2"/>
  <c r="G65" i="2" l="1"/>
  <c r="H65" i="2" s="1"/>
  <c r="E66" i="2" l="1"/>
  <c r="C66" i="2"/>
  <c r="G66" i="2" l="1"/>
  <c r="H66" i="2" s="1"/>
  <c r="C67" i="2" l="1"/>
  <c r="E67" i="2"/>
  <c r="G67" i="2" l="1"/>
  <c r="H67" i="2" s="1"/>
  <c r="C68" i="2" l="1"/>
  <c r="E68" i="2"/>
  <c r="G68" i="2" l="1"/>
  <c r="H68" i="2" s="1"/>
  <c r="C69" i="2" l="1"/>
  <c r="E69" i="2"/>
  <c r="G69" i="2" l="1"/>
  <c r="H69" i="2" s="1"/>
  <c r="C70" i="2" l="1"/>
  <c r="E70" i="2"/>
  <c r="G70" i="2" l="1"/>
  <c r="H70" i="2" s="1"/>
  <c r="C71" i="2" l="1"/>
  <c r="E71" i="2"/>
  <c r="G71" i="2" l="1"/>
  <c r="H71" i="2" s="1"/>
  <c r="E72" i="2" l="1"/>
  <c r="C72" i="2"/>
  <c r="G72" i="2" l="1"/>
  <c r="H72" i="2" s="1"/>
  <c r="C73" i="2" l="1"/>
  <c r="E73" i="2"/>
  <c r="G73" i="2" l="1"/>
  <c r="H73" i="2" s="1"/>
  <c r="E74" i="2" l="1"/>
  <c r="C74" i="2"/>
  <c r="G74" i="2" l="1"/>
  <c r="H74" i="2" s="1"/>
  <c r="E75" i="2" l="1"/>
  <c r="C75" i="2"/>
  <c r="G75" i="2" l="1"/>
  <c r="H75" i="2" s="1"/>
  <c r="E76" i="2" l="1"/>
  <c r="C76" i="2"/>
  <c r="G76" i="2" l="1"/>
  <c r="H76" i="2" s="1"/>
  <c r="E77" i="2" l="1"/>
  <c r="C77" i="2"/>
  <c r="G77" i="2" l="1"/>
  <c r="H77" i="2" s="1"/>
  <c r="E78" i="2" l="1"/>
  <c r="C78" i="2"/>
  <c r="G78" i="2" l="1"/>
  <c r="H78" i="2" s="1"/>
  <c r="E79" i="2" l="1"/>
  <c r="C79" i="2"/>
  <c r="G79" i="2" l="1"/>
  <c r="H79" i="2" s="1"/>
  <c r="E80" i="2" l="1"/>
  <c r="C80" i="2"/>
  <c r="G80" i="2" l="1"/>
  <c r="H80" i="2" s="1"/>
  <c r="C81" i="2" l="1"/>
  <c r="E81" i="2"/>
  <c r="G81" i="2" l="1"/>
  <c r="H81" i="2" s="1"/>
  <c r="E82" i="2" l="1"/>
  <c r="C82" i="2"/>
  <c r="G82" i="2" l="1"/>
  <c r="H82" i="2" s="1"/>
  <c r="C83" i="2" l="1"/>
  <c r="E83" i="2"/>
  <c r="G83" i="2" l="1"/>
  <c r="H83" i="2" s="1"/>
  <c r="C84" i="2" l="1"/>
  <c r="E84" i="2"/>
  <c r="G84" i="2" l="1"/>
  <c r="H84" i="2" s="1"/>
  <c r="C85" i="2" l="1"/>
  <c r="E85" i="2"/>
  <c r="G85" i="2" l="1"/>
  <c r="H85" i="2" s="1"/>
  <c r="C86" i="2" l="1"/>
  <c r="E86" i="2"/>
  <c r="G86" i="2" l="1"/>
  <c r="H86" i="2" s="1"/>
  <c r="C87" i="2" s="1"/>
  <c r="E87" i="2" l="1"/>
  <c r="G87" i="2" s="1"/>
  <c r="H87" i="2" s="1"/>
  <c r="C88" i="2" l="1"/>
  <c r="E88" i="2"/>
  <c r="G88" i="2" l="1"/>
  <c r="H88" i="2" s="1"/>
  <c r="C89" i="2" s="1"/>
  <c r="E89" i="2" l="1"/>
  <c r="G89" i="2" s="1"/>
  <c r="H89" i="2" s="1"/>
  <c r="C90" i="2" l="1"/>
  <c r="E90" i="2"/>
  <c r="G90" i="2" l="1"/>
  <c r="H90" i="2" s="1"/>
  <c r="C91" i="2" s="1"/>
  <c r="E91" i="2" l="1"/>
  <c r="G91" i="2" s="1"/>
  <c r="H91" i="2" s="1"/>
  <c r="C92" i="2" l="1"/>
  <c r="E92" i="2"/>
  <c r="G92" i="2" l="1"/>
  <c r="H92" i="2" s="1"/>
  <c r="C93" i="2" l="1"/>
  <c r="E93" i="2"/>
  <c r="G93" i="2" l="1"/>
  <c r="H93" i="2" s="1"/>
  <c r="C94" i="2" l="1"/>
  <c r="E94" i="2"/>
  <c r="G94" i="2" l="1"/>
  <c r="H94" i="2" s="1"/>
  <c r="C95" i="2" l="1"/>
  <c r="E95" i="2"/>
  <c r="G95" i="2" l="1"/>
  <c r="H95" i="2" s="1"/>
  <c r="C96" i="2" l="1"/>
  <c r="E96" i="2"/>
  <c r="G96" i="2" l="1"/>
  <c r="H96" i="2" s="1"/>
  <c r="C97" i="2" l="1"/>
  <c r="E97" i="2"/>
  <c r="G97" i="2" l="1"/>
  <c r="H97" i="2" s="1"/>
  <c r="C98" i="2" l="1"/>
  <c r="E98" i="2"/>
  <c r="G98" i="2" l="1"/>
  <c r="H98" i="2" s="1"/>
  <c r="C99" i="2" l="1"/>
  <c r="E99" i="2"/>
  <c r="G99" i="2" l="1"/>
  <c r="H99" i="2" s="1"/>
  <c r="C100" i="2" l="1"/>
  <c r="E100" i="2"/>
  <c r="G100" i="2" l="1"/>
  <c r="H100" i="2" s="1"/>
  <c r="C101" i="2" l="1"/>
  <c r="E101" i="2"/>
  <c r="G101" i="2" l="1"/>
  <c r="H101" i="2" s="1"/>
  <c r="C102" i="2" l="1"/>
  <c r="E102" i="2"/>
  <c r="G102" i="2" l="1"/>
  <c r="H102" i="2" s="1"/>
  <c r="C103" i="2" s="1"/>
  <c r="E103" i="2" l="1"/>
  <c r="G103" i="2" s="1"/>
  <c r="H103" i="2" s="1"/>
  <c r="C104" i="2" s="1"/>
  <c r="E104" i="2" l="1"/>
  <c r="G104" i="2" s="1"/>
  <c r="H104" i="2" s="1"/>
  <c r="C105" i="2" l="1"/>
  <c r="E105" i="2"/>
  <c r="G105" i="2" l="1"/>
  <c r="H105" i="2" s="1"/>
  <c r="C106" i="2" l="1"/>
  <c r="E106" i="2"/>
  <c r="G106" i="2" l="1"/>
  <c r="H106" i="2" s="1"/>
  <c r="C107" i="2" l="1"/>
  <c r="E107" i="2"/>
  <c r="G107" i="2" l="1"/>
  <c r="H107" i="2" s="1"/>
  <c r="E108" i="2" l="1"/>
  <c r="C108" i="2"/>
  <c r="G108" i="2" l="1"/>
  <c r="H108" i="2" s="1"/>
  <c r="E109" i="2" l="1"/>
  <c r="C109" i="2"/>
  <c r="G109" i="2" l="1"/>
  <c r="H109" i="2" s="1"/>
  <c r="C110" i="2" l="1"/>
  <c r="E110" i="2"/>
  <c r="G110" i="2" l="1"/>
  <c r="H110" i="2" s="1"/>
  <c r="C111" i="2" l="1"/>
  <c r="E111" i="2"/>
  <c r="G111" i="2" l="1"/>
  <c r="H111" i="2" s="1"/>
  <c r="C112" i="2" l="1"/>
  <c r="E112" i="2"/>
  <c r="G112" i="2" l="1"/>
  <c r="H112" i="2" s="1"/>
  <c r="C113" i="2" l="1"/>
  <c r="E113" i="2"/>
  <c r="G113" i="2" l="1"/>
  <c r="H113" i="2" s="1"/>
  <c r="C114" i="2" l="1"/>
  <c r="E114" i="2"/>
  <c r="G114" i="2" l="1"/>
  <c r="H114" i="2" s="1"/>
  <c r="E115" i="2" l="1"/>
  <c r="C115" i="2"/>
  <c r="G115" i="2" l="1"/>
  <c r="H115" i="2" s="1"/>
  <c r="E116" i="2" l="1"/>
  <c r="C116" i="2"/>
  <c r="G116" i="2" l="1"/>
  <c r="H116" i="2" s="1"/>
  <c r="E117" i="2" l="1"/>
  <c r="C117" i="2"/>
  <c r="G117" i="2" l="1"/>
  <c r="H117" i="2" s="1"/>
  <c r="C118" i="2" l="1"/>
  <c r="E118" i="2"/>
  <c r="G118" i="2" l="1"/>
  <c r="H118" i="2" s="1"/>
  <c r="C119" i="2" l="1"/>
  <c r="E119" i="2"/>
  <c r="G119" i="2" l="1"/>
  <c r="H119" i="2" s="1"/>
  <c r="C120" i="2" l="1"/>
  <c r="E120" i="2"/>
  <c r="G120" i="2" l="1"/>
  <c r="H120" i="2" s="1"/>
  <c r="C121" i="2" l="1"/>
  <c r="E121" i="2"/>
  <c r="G121" i="2" l="1"/>
  <c r="H121" i="2" s="1"/>
  <c r="C122" i="2" l="1"/>
  <c r="E122" i="2"/>
  <c r="G122" i="2" l="1"/>
  <c r="H122" i="2" s="1"/>
  <c r="C123" i="2" l="1"/>
  <c r="E123" i="2"/>
  <c r="G123" i="2" l="1"/>
  <c r="H123" i="2" s="1"/>
  <c r="C124" i="2" l="1"/>
  <c r="E124" i="2"/>
  <c r="G124" i="2" l="1"/>
  <c r="H124" i="2" s="1"/>
  <c r="E125" i="2" s="1"/>
  <c r="C125" i="2" l="1"/>
  <c r="G125" i="2" s="1"/>
  <c r="H125" i="2" s="1"/>
  <c r="E126" i="2" l="1"/>
  <c r="C126" i="2"/>
  <c r="G126" i="2" l="1"/>
  <c r="H126" i="2" s="1"/>
  <c r="C127" i="2" l="1"/>
  <c r="E127" i="2"/>
  <c r="G127" i="2" l="1"/>
  <c r="H127" i="2" s="1"/>
  <c r="C128" i="2" l="1"/>
  <c r="E128" i="2"/>
  <c r="G128" i="2" l="1"/>
  <c r="H128" i="2" s="1"/>
  <c r="E129" i="2" s="1"/>
  <c r="C129" i="2" l="1"/>
  <c r="G129" i="2" s="1"/>
  <c r="H129" i="2" s="1"/>
  <c r="C130" i="2" l="1"/>
  <c r="E130" i="2"/>
  <c r="G130" i="2" l="1"/>
  <c r="H130" i="2" s="1"/>
  <c r="C131" i="2" s="1"/>
  <c r="E131" i="2" l="1"/>
  <c r="G131" i="2" s="1"/>
  <c r="H131" i="2" s="1"/>
  <c r="C132" i="2" l="1"/>
  <c r="E132" i="2"/>
  <c r="G132" i="2" l="1"/>
  <c r="H132" i="2" s="1"/>
  <c r="E133" i="2" l="1"/>
  <c r="C133" i="2"/>
  <c r="G133" i="2" l="1"/>
  <c r="H133" i="2" s="1"/>
  <c r="C134" i="2" l="1"/>
  <c r="E134" i="2"/>
  <c r="G134" i="2" l="1"/>
  <c r="H134" i="2" s="1"/>
  <c r="C135" i="2" s="1"/>
  <c r="E135" i="2" l="1"/>
  <c r="G135" i="2" s="1"/>
  <c r="H135" i="2" s="1"/>
  <c r="C136" i="2" l="1"/>
  <c r="E136" i="2"/>
  <c r="G136" i="2" l="1"/>
  <c r="H136" i="2" s="1"/>
  <c r="C137" i="2" l="1"/>
  <c r="E137" i="2"/>
  <c r="G137" i="2" l="1"/>
  <c r="H137" i="2" s="1"/>
  <c r="C138" i="2" l="1"/>
  <c r="E138" i="2"/>
  <c r="G138" i="2" l="1"/>
  <c r="H138" i="2" s="1"/>
  <c r="E139" i="2" l="1"/>
  <c r="C139" i="2"/>
  <c r="G139" i="2" l="1"/>
  <c r="H139" i="2" s="1"/>
  <c r="E140" i="2" l="1"/>
  <c r="C140" i="2"/>
  <c r="G140" i="2" l="1"/>
  <c r="H140" i="2" s="1"/>
  <c r="C141" i="2" l="1"/>
  <c r="E141" i="2"/>
  <c r="G141" i="2" l="1"/>
  <c r="H141" i="2" s="1"/>
  <c r="C142" i="2" s="1"/>
  <c r="E142" i="2" l="1"/>
  <c r="G142" i="2" s="1"/>
  <c r="H142" i="2" s="1"/>
  <c r="C143" i="2" l="1"/>
  <c r="E143" i="2"/>
  <c r="G143" i="2" l="1"/>
  <c r="H143" i="2" s="1"/>
  <c r="C144" i="2" s="1"/>
  <c r="E144" i="2" l="1"/>
  <c r="G144" i="2" s="1"/>
  <c r="H144" i="2" s="1"/>
  <c r="E145" i="2" s="1"/>
  <c r="C145" i="2" l="1"/>
  <c r="G145" i="2" s="1"/>
  <c r="H145" i="2" s="1"/>
  <c r="C146" i="2" l="1"/>
  <c r="E146" i="2"/>
  <c r="G146" i="2" l="1"/>
  <c r="H146" i="2" s="1"/>
  <c r="E147" i="2" l="1"/>
  <c r="C147" i="2"/>
  <c r="G147" i="2" l="1"/>
  <c r="H147" i="2" s="1"/>
  <c r="C148" i="2" l="1"/>
  <c r="E148" i="2"/>
  <c r="G148" i="2" l="1"/>
  <c r="H148" i="2" s="1"/>
  <c r="C149" i="2" s="1"/>
  <c r="E149" i="2" l="1"/>
  <c r="G149" i="2" s="1"/>
  <c r="H149" i="2" s="1"/>
  <c r="E150" i="2" l="1"/>
  <c r="C150" i="2"/>
  <c r="G150" i="2" l="1"/>
  <c r="H150" i="2" s="1"/>
  <c r="C151" i="2" l="1"/>
  <c r="E151" i="2"/>
  <c r="G151" i="2" l="1"/>
  <c r="H151" i="2" s="1"/>
  <c r="C152" i="2" l="1"/>
  <c r="E152" i="2"/>
  <c r="G152" i="2" l="1"/>
  <c r="H152" i="2" s="1"/>
  <c r="E153" i="2" l="1"/>
  <c r="C153" i="2"/>
  <c r="G153" i="2" l="1"/>
  <c r="H153" i="2" s="1"/>
  <c r="C154" i="2" s="1"/>
  <c r="E154" i="2" l="1"/>
  <c r="G154" i="2" s="1"/>
  <c r="H154" i="2" s="1"/>
  <c r="C155" i="2" l="1"/>
  <c r="E155" i="2"/>
  <c r="G155" i="2" l="1"/>
  <c r="H155" i="2" s="1"/>
  <c r="E156" i="2" s="1"/>
  <c r="C156" i="2" l="1"/>
  <c r="G156" i="2" s="1"/>
  <c r="H156" i="2" s="1"/>
  <c r="C157" i="2" l="1"/>
  <c r="E157" i="2"/>
  <c r="G157" i="2" l="1"/>
  <c r="H157" i="2" s="1"/>
  <c r="C158" i="2" s="1"/>
  <c r="E158" i="2" l="1"/>
  <c r="G158" i="2" s="1"/>
  <c r="H158" i="2" s="1"/>
  <c r="C159" i="2" l="1"/>
  <c r="E159" i="2"/>
  <c r="G159" i="2" l="1"/>
  <c r="H159" i="2" s="1"/>
  <c r="C160" i="2" s="1"/>
  <c r="E160" i="2" l="1"/>
  <c r="G160" i="2" s="1"/>
  <c r="H160" i="2" s="1"/>
  <c r="C161" i="2" l="1"/>
  <c r="E161" i="2"/>
  <c r="G161" i="2" l="1"/>
  <c r="H161" i="2" s="1"/>
  <c r="E162" i="2" s="1"/>
  <c r="C162" i="2" l="1"/>
  <c r="G162" i="2" s="1"/>
  <c r="H162" i="2" s="1"/>
  <c r="E163" i="2" s="1"/>
  <c r="C163" i="2" l="1"/>
  <c r="G163" i="2" s="1"/>
  <c r="H163" i="2" s="1"/>
  <c r="C164" i="2" s="1"/>
  <c r="E164" i="2" l="1"/>
  <c r="G164" i="2" s="1"/>
  <c r="H164" i="2" s="1"/>
  <c r="C165" i="2" l="1"/>
  <c r="E165" i="2"/>
  <c r="G165" i="2" l="1"/>
  <c r="H165" i="2" s="1"/>
  <c r="C166" i="2" l="1"/>
  <c r="E166" i="2"/>
  <c r="G166" i="2" l="1"/>
  <c r="H166" i="2" s="1"/>
  <c r="E167" i="2" l="1"/>
  <c r="C167" i="2"/>
  <c r="G167" i="2" l="1"/>
  <c r="H167" i="2" s="1"/>
  <c r="E168" i="2" s="1"/>
  <c r="C168" i="2" l="1"/>
  <c r="G168" i="2" s="1"/>
  <c r="H168" i="2" s="1"/>
  <c r="C169" i="2" s="1"/>
  <c r="E169" i="2" l="1"/>
  <c r="G169" i="2" s="1"/>
  <c r="H169" i="2" s="1"/>
  <c r="E170" i="2" l="1"/>
  <c r="C170" i="2"/>
  <c r="G170" i="2" l="1"/>
  <c r="H170" i="2" s="1"/>
  <c r="C171" i="2" s="1"/>
  <c r="E171" i="2" l="1"/>
  <c r="G171" i="2" s="1"/>
  <c r="H171" i="2" s="1"/>
  <c r="E172" i="2" s="1"/>
  <c r="C172" i="2" l="1"/>
  <c r="G172" i="2" s="1"/>
  <c r="H172" i="2" s="1"/>
  <c r="C173" i="2" s="1"/>
  <c r="E173" i="2" l="1"/>
  <c r="G173" i="2" s="1"/>
  <c r="H173" i="2" s="1"/>
  <c r="C174" i="2" s="1"/>
  <c r="E174" i="2" l="1"/>
  <c r="G174" i="2" s="1"/>
  <c r="H174" i="2" s="1"/>
  <c r="C175" i="2" l="1"/>
  <c r="E175" i="2"/>
  <c r="G175" i="2" l="1"/>
  <c r="H175" i="2" s="1"/>
  <c r="C176" i="2" s="1"/>
  <c r="E176" i="2" l="1"/>
  <c r="G176" i="2" s="1"/>
  <c r="H176" i="2" s="1"/>
  <c r="C177" i="2" s="1"/>
  <c r="E177" i="2" l="1"/>
  <c r="G177" i="2" s="1"/>
  <c r="H177" i="2" s="1"/>
  <c r="C178" i="2" s="1"/>
  <c r="E178" i="2" l="1"/>
  <c r="G178" i="2" s="1"/>
  <c r="H178" i="2" s="1"/>
  <c r="E179" i="2" l="1"/>
  <c r="C179" i="2"/>
  <c r="G179" i="2" l="1"/>
  <c r="H179" i="2" s="1"/>
  <c r="E180" i="2" s="1"/>
  <c r="C180" i="2" l="1"/>
  <c r="G180" i="2" s="1"/>
  <c r="H180" i="2" s="1"/>
  <c r="C181" i="2" s="1"/>
  <c r="E181" i="2" l="1"/>
  <c r="G181" i="2" s="1"/>
  <c r="H181" i="2" s="1"/>
  <c r="C182" i="2" l="1"/>
  <c r="E182" i="2"/>
  <c r="G182" i="2" l="1"/>
  <c r="H182" i="2" s="1"/>
  <c r="C183" i="2" s="1"/>
  <c r="E183" i="2" l="1"/>
  <c r="G183" i="2" s="1"/>
  <c r="H183" i="2" s="1"/>
  <c r="C184" i="2" s="1"/>
  <c r="E184" i="2" l="1"/>
  <c r="G184" i="2" s="1"/>
  <c r="H184" i="2" s="1"/>
  <c r="C185" i="2" s="1"/>
  <c r="E185" i="2" l="1"/>
  <c r="G185" i="2" s="1"/>
  <c r="H185" i="2" s="1"/>
  <c r="C186" i="2" s="1"/>
  <c r="E186" i="2" l="1"/>
  <c r="G186" i="2" s="1"/>
  <c r="H186" i="2" s="1"/>
  <c r="E187" i="2" s="1"/>
  <c r="C187" i="2" l="1"/>
  <c r="G187" i="2" s="1"/>
  <c r="H187" i="2" s="1"/>
  <c r="C188" i="2" s="1"/>
  <c r="E188" i="2" l="1"/>
  <c r="G188" i="2" s="1"/>
  <c r="H188" i="2" s="1"/>
  <c r="E189" i="2" s="1"/>
  <c r="C189" i="2" l="1"/>
  <c r="G189" i="2" s="1"/>
  <c r="H189" i="2" s="1"/>
  <c r="C190" i="2" s="1"/>
  <c r="E190" i="2" l="1"/>
  <c r="G190" i="2" s="1"/>
  <c r="H190" i="2" s="1"/>
  <c r="C191" i="2" s="1"/>
  <c r="E191" i="2" l="1"/>
  <c r="G191" i="2" s="1"/>
  <c r="H191" i="2" s="1"/>
  <c r="C192" i="2" l="1"/>
  <c r="E192" i="2"/>
  <c r="G192" i="2" l="1"/>
  <c r="H192" i="2" s="1"/>
  <c r="C193" i="2" s="1"/>
  <c r="E193" i="2" l="1"/>
  <c r="G193" i="2" s="1"/>
  <c r="H193" i="2" s="1"/>
  <c r="C194" i="2" s="1"/>
  <c r="E194" i="2" l="1"/>
  <c r="G194" i="2" s="1"/>
  <c r="H194" i="2" s="1"/>
  <c r="C195" i="2" l="1"/>
  <c r="E195" i="2"/>
  <c r="G195" i="2" l="1"/>
  <c r="H195" i="2" s="1"/>
  <c r="C196" i="2" s="1"/>
  <c r="E196" i="2" l="1"/>
  <c r="G196" i="2" s="1"/>
  <c r="H196" i="2" s="1"/>
  <c r="C197" i="2" s="1"/>
  <c r="E197" i="2" l="1"/>
  <c r="G197" i="2" s="1"/>
  <c r="H197" i="2" s="1"/>
  <c r="C198" i="2" l="1"/>
  <c r="E198" i="2"/>
  <c r="G198" i="2" l="1"/>
  <c r="H198" i="2" s="1"/>
  <c r="E199" i="2" l="1"/>
  <c r="C199" i="2"/>
  <c r="G199" i="2" l="1"/>
  <c r="H199" i="2" s="1"/>
  <c r="E200" i="2" s="1"/>
  <c r="C200" i="2" l="1"/>
  <c r="G200" i="2" s="1"/>
  <c r="H200" i="2" s="1"/>
  <c r="C201" i="2" s="1"/>
  <c r="E201" i="2" l="1"/>
  <c r="G201" i="2" s="1"/>
  <c r="H201" i="2" s="1"/>
  <c r="C202" i="2" s="1"/>
  <c r="E202" i="2" l="1"/>
  <c r="G202" i="2" s="1"/>
  <c r="H202" i="2" s="1"/>
  <c r="E203" i="2" s="1"/>
  <c r="C203" i="2" l="1"/>
  <c r="G203" i="2" s="1"/>
  <c r="H203" i="2" s="1"/>
  <c r="E204" i="2" s="1"/>
  <c r="C204" i="2" l="1"/>
  <c r="G204" i="2" s="1"/>
  <c r="H204" i="2" s="1"/>
  <c r="E205" i="2" s="1"/>
  <c r="C205" i="2" l="1"/>
  <c r="G205" i="2" s="1"/>
  <c r="H205" i="2" s="1"/>
  <c r="E206" i="2" s="1"/>
  <c r="C206" i="2" l="1"/>
  <c r="G206" i="2" s="1"/>
  <c r="H206" i="2" s="1"/>
  <c r="E207" i="2" s="1"/>
  <c r="C207" i="2" l="1"/>
  <c r="G207" i="2" s="1"/>
  <c r="H207" i="2" s="1"/>
  <c r="E208" i="2" s="1"/>
  <c r="C208" i="2" l="1"/>
  <c r="G208" i="2" s="1"/>
  <c r="H208" i="2" s="1"/>
  <c r="C209" i="2" s="1"/>
  <c r="E209" i="2" l="1"/>
  <c r="G209" i="2" s="1"/>
  <c r="H209" i="2" s="1"/>
  <c r="C210" i="2" s="1"/>
  <c r="E210" i="2" l="1"/>
  <c r="G210" i="2" s="1"/>
  <c r="H210" i="2" s="1"/>
  <c r="C211" i="2" l="1"/>
  <c r="E211" i="2"/>
  <c r="G211" i="2" l="1"/>
  <c r="H211" i="2" s="1"/>
  <c r="E212" i="2" l="1"/>
  <c r="C212" i="2"/>
  <c r="G212" i="2" l="1"/>
  <c r="H212" i="2" s="1"/>
  <c r="E213" i="2" l="1"/>
  <c r="C213" i="2"/>
  <c r="G213" i="2" l="1"/>
  <c r="H213" i="2" s="1"/>
  <c r="E214" i="2" s="1"/>
  <c r="C214" i="2" l="1"/>
  <c r="G214" i="2" s="1"/>
  <c r="H214" i="2" s="1"/>
  <c r="E215" i="2" s="1"/>
  <c r="C215" i="2" l="1"/>
  <c r="G215" i="2" s="1"/>
  <c r="H215" i="2" s="1"/>
  <c r="E216" i="2" s="1"/>
  <c r="C216" i="2" l="1"/>
  <c r="G216" i="2" s="1"/>
  <c r="H216" i="2" s="1"/>
  <c r="C217" i="2" s="1"/>
  <c r="E217" i="2" l="1"/>
  <c r="G217" i="2" s="1"/>
  <c r="H217" i="2" s="1"/>
  <c r="E218" i="2" s="1"/>
  <c r="C218" i="2" l="1"/>
  <c r="G218" i="2" s="1"/>
  <c r="H218" i="2" s="1"/>
  <c r="C219" i="2" s="1"/>
  <c r="E219" i="2" l="1"/>
  <c r="G219" i="2" s="1"/>
  <c r="H219" i="2" s="1"/>
  <c r="E220" i="2" s="1"/>
  <c r="C220" i="2" l="1"/>
  <c r="G220" i="2" s="1"/>
  <c r="H220" i="2" s="1"/>
  <c r="E221" i="2" s="1"/>
  <c r="C221" i="2" l="1"/>
  <c r="G221" i="2" s="1"/>
  <c r="H221" i="2" s="1"/>
  <c r="C222" i="2" s="1"/>
  <c r="E222" i="2" l="1"/>
  <c r="G222" i="2" s="1"/>
  <c r="H222" i="2" s="1"/>
  <c r="E223" i="2" s="1"/>
  <c r="C223" i="2" l="1"/>
  <c r="G223" i="2" s="1"/>
  <c r="H223" i="2" s="1"/>
  <c r="E224" i="2" s="1"/>
  <c r="C224" i="2" l="1"/>
  <c r="G224" i="2" s="1"/>
  <c r="H224" i="2" s="1"/>
  <c r="E225" i="2" s="1"/>
  <c r="C225" i="2" l="1"/>
  <c r="G225" i="2" s="1"/>
  <c r="H225" i="2" s="1"/>
  <c r="C226" i="2" s="1"/>
  <c r="E226" i="2" l="1"/>
  <c r="G226" i="2" s="1"/>
  <c r="H226" i="2" s="1"/>
  <c r="C227" i="2" s="1"/>
  <c r="E227" i="2" l="1"/>
  <c r="G227" i="2" s="1"/>
  <c r="H227" i="2" s="1"/>
  <c r="E228" i="2" l="1"/>
  <c r="C228" i="2"/>
  <c r="G228" i="2" l="1"/>
  <c r="H228" i="2" s="1"/>
  <c r="E229" i="2" s="1"/>
  <c r="C229" i="2" l="1"/>
  <c r="G229" i="2" s="1"/>
  <c r="H229" i="2" s="1"/>
  <c r="E230" i="2" l="1"/>
  <c r="C230" i="2"/>
  <c r="G230" i="2" l="1"/>
  <c r="H230" i="2" s="1"/>
  <c r="E231" i="2" s="1"/>
  <c r="C231" i="2" l="1"/>
  <c r="G231" i="2" s="1"/>
  <c r="H231" i="2" s="1"/>
  <c r="E232" i="2" s="1"/>
  <c r="C232" i="2" l="1"/>
  <c r="G232" i="2" s="1"/>
  <c r="H232" i="2" s="1"/>
  <c r="E233" i="2" l="1"/>
  <c r="C233" i="2"/>
  <c r="G233" i="2" l="1"/>
  <c r="H233" i="2" s="1"/>
  <c r="C234" i="2" l="1"/>
  <c r="E234" i="2"/>
  <c r="G234" i="2" l="1"/>
  <c r="H234" i="2" s="1"/>
  <c r="C235" i="2" s="1"/>
  <c r="E235" i="2" l="1"/>
  <c r="G235" i="2" s="1"/>
  <c r="H235" i="2" s="1"/>
  <c r="C236" i="2" s="1"/>
  <c r="E236" i="2" l="1"/>
  <c r="G236" i="2" s="1"/>
  <c r="H236" i="2" s="1"/>
  <c r="E237" i="2" l="1"/>
  <c r="C237" i="2"/>
  <c r="G237" i="2" l="1"/>
  <c r="H237" i="2" s="1"/>
  <c r="C238" i="2" s="1"/>
  <c r="E238" i="2" l="1"/>
  <c r="G238" i="2" s="1"/>
  <c r="H238" i="2" s="1"/>
  <c r="C239" i="2" s="1"/>
  <c r="E239" i="2" l="1"/>
  <c r="G239" i="2" s="1"/>
  <c r="H239" i="2" s="1"/>
  <c r="C240" i="2" l="1"/>
  <c r="E240" i="2"/>
  <c r="G240" i="2" l="1"/>
  <c r="H240" i="2" s="1"/>
  <c r="E241" i="2" s="1"/>
  <c r="C241" i="2" l="1"/>
  <c r="G241" i="2" s="1"/>
  <c r="H241" i="2" s="1"/>
  <c r="E242" i="2" s="1"/>
  <c r="C242" i="2" l="1"/>
  <c r="G242" i="2" s="1"/>
  <c r="H242" i="2" s="1"/>
  <c r="E243" i="2" s="1"/>
  <c r="C243" i="2" l="1"/>
  <c r="G243" i="2" s="1"/>
  <c r="H243" i="2" s="1"/>
  <c r="E244" i="2" s="1"/>
  <c r="C244" i="2" l="1"/>
  <c r="G244" i="2" s="1"/>
  <c r="H244" i="2" s="1"/>
  <c r="E245" i="2" s="1"/>
  <c r="C245" i="2" l="1"/>
  <c r="G245" i="2" s="1"/>
  <c r="H245" i="2" s="1"/>
  <c r="E246" i="2" s="1"/>
  <c r="C246" i="2" l="1"/>
  <c r="G246" i="2" s="1"/>
  <c r="H246" i="2" s="1"/>
  <c r="E247" i="2" s="1"/>
  <c r="C247" i="2" l="1"/>
  <c r="G247" i="2" s="1"/>
  <c r="H247" i="2" s="1"/>
  <c r="E248" i="2" s="1"/>
  <c r="C248" i="2" l="1"/>
  <c r="G248" i="2" s="1"/>
  <c r="H248" i="2" s="1"/>
  <c r="E249" i="2" s="1"/>
  <c r="C249" i="2" l="1"/>
  <c r="G249" i="2" s="1"/>
  <c r="H249" i="2" s="1"/>
  <c r="E250" i="2" s="1"/>
  <c r="C250" i="2" l="1"/>
  <c r="G250" i="2" s="1"/>
  <c r="H250" i="2" s="1"/>
  <c r="E251" i="2" s="1"/>
  <c r="C251" i="2" l="1"/>
  <c r="G251" i="2" s="1"/>
  <c r="H251" i="2" s="1"/>
  <c r="E252" i="2" s="1"/>
  <c r="C252" i="2" l="1"/>
  <c r="G252" i="2" s="1"/>
  <c r="H252" i="2" s="1"/>
  <c r="C253" i="2" s="1"/>
  <c r="E253" i="2" l="1"/>
  <c r="G253" i="2" s="1"/>
  <c r="H253" i="2" s="1"/>
  <c r="C254" i="2" s="1"/>
  <c r="E254" i="2" l="1"/>
  <c r="G254" i="2" s="1"/>
  <c r="H254" i="2" s="1"/>
  <c r="E255" i="2" s="1"/>
  <c r="C255" i="2" l="1"/>
  <c r="G255" i="2" s="1"/>
  <c r="H255" i="2" s="1"/>
  <c r="E256" i="2" s="1"/>
  <c r="C256" i="2" l="1"/>
  <c r="G256" i="2" s="1"/>
  <c r="H256" i="2" s="1"/>
  <c r="C257" i="2" s="1"/>
  <c r="E257" i="2" l="1"/>
  <c r="G257" i="2" s="1"/>
  <c r="H257" i="2" s="1"/>
  <c r="E258" i="2" s="1"/>
  <c r="C258" i="2" l="1"/>
  <c r="G258" i="2" s="1"/>
  <c r="H258" i="2" s="1"/>
  <c r="E259" i="2" s="1"/>
  <c r="C259" i="2" l="1"/>
  <c r="G259" i="2" s="1"/>
  <c r="H259" i="2" s="1"/>
  <c r="C260" i="2" s="1"/>
  <c r="E260" i="2" l="1"/>
  <c r="G260" i="2" s="1"/>
  <c r="H260" i="2" s="1"/>
  <c r="E261" i="2" s="1"/>
  <c r="E263" i="2" s="1"/>
  <c r="C261" i="2" l="1"/>
  <c r="G261" i="2" s="1"/>
  <c r="H261" i="2" s="1"/>
  <c r="G263" i="2" s="1"/>
</calcChain>
</file>

<file path=xl/sharedStrings.xml><?xml version="1.0" encoding="utf-8"?>
<sst xmlns="http://schemas.openxmlformats.org/spreadsheetml/2006/main" count="37" uniqueCount="34">
  <si>
    <t>Loan Amount</t>
  </si>
  <si>
    <t>Months</t>
  </si>
  <si>
    <t>Interest Rate</t>
  </si>
  <si>
    <t>Term (Months)</t>
  </si>
  <si>
    <t>EMI Payment</t>
  </si>
  <si>
    <t>EMI</t>
  </si>
  <si>
    <t>Rate</t>
  </si>
  <si>
    <t>Principal</t>
  </si>
  <si>
    <t>Balance</t>
  </si>
  <si>
    <t>Total Intrest Paid</t>
  </si>
  <si>
    <t xml:space="preserve">Total Principle </t>
  </si>
  <si>
    <t xml:space="preserve">Loan Ammount  </t>
  </si>
  <si>
    <t>C1</t>
  </si>
  <si>
    <t>C18</t>
  </si>
  <si>
    <t>Interest Rate Change Month</t>
  </si>
  <si>
    <t>Interest Rate Change Value</t>
  </si>
  <si>
    <t>E3 to E17</t>
  </si>
  <si>
    <t>D3 to D17</t>
  </si>
  <si>
    <t>PrePayment (+ value) Against Specific Month</t>
  </si>
  <si>
    <t>H22 to H253</t>
  </si>
  <si>
    <t>Withdrawal(- Value ) against specific Month</t>
  </si>
  <si>
    <t>Need to Change as per Individual</t>
  </si>
  <si>
    <t>Valid for 20 Yrears Loan Tennure</t>
  </si>
  <si>
    <t>Loan Tennure</t>
  </si>
  <si>
    <t>C3</t>
  </si>
  <si>
    <t>Excel Cell</t>
  </si>
  <si>
    <t>G Column gives the Idea about Loan closure month and Year based on below factor</t>
  </si>
  <si>
    <t xml:space="preserve">Interest rate Change </t>
  </si>
  <si>
    <t xml:space="preserve">Prepayment Max gain </t>
  </si>
  <si>
    <t>Withdrawal Max gain</t>
  </si>
  <si>
    <t>Actual Interest</t>
  </si>
  <si>
    <t>Part Loan</t>
  </si>
  <si>
    <t>Prepayment/ withdrawal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</si>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</sst>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10" fontId="0" fillId="0" borderId="1" xfId="1" applyNumberFormat="1" applyFont="1" applyBorder="1"/>
    <xf numFmtId="0" fontId="0" fillId="0" borderId="2" xfId="0" applyBorder="1"/>
    <xf numFmtId="2" fontId="0" fillId="0" borderId="2" xfId="0" applyNumberFormat="1" applyBorder="1"/>
    <xf numFmtId="17" fontId="0" fillId="0" borderId="1" xfId="0" applyNumberFormat="1" applyBorder="1"/>
    <xf numFmtId="2" fontId="1" fillId="4" borderId="1" xfId="0" applyNumberFormat="1" applyFont="1" applyFill="1" applyBorder="1" applyAlignment="1">
      <alignment horizontal="center" wrapText="1"/>
    </xf>
    <xf numFmtId="0" fontId="1" fillId="0" borderId="0" xfId="0" applyFont="1"/>
    <xf numFmtId="1" fontId="0" fillId="0" borderId="0" xfId="0" applyNumberFormat="1"/>
    <xf numFmtId="1" fontId="1" fillId="0" borderId="1" xfId="0" applyNumberFormat="1" applyFont="1" applyBorder="1"/>
    <xf numFmtId="10" fontId="0" fillId="0" borderId="0" xfId="0" applyNumberFormat="1"/>
    <xf numFmtId="2" fontId="0" fillId="0" borderId="0" xfId="0" applyNumberFormat="1"/>
    <xf numFmtId="0" fontId="0" fillId="5" borderId="1" xfId="0" applyFill="1" applyBorder="1"/>
    <xf numFmtId="10" fontId="0" fillId="5" borderId="1" xfId="1" applyNumberFormat="1" applyFont="1" applyFill="1" applyBorder="1"/>
    <xf numFmtId="2" fontId="0" fillId="5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4"/>
  <sheetViews>
    <sheetView tabSelected="1" zoomScale="82" zoomScaleNormal="65" workbookViewId="0">
      <selection activeCell="A264" sqref="A264"/>
    </sheetView>
  </sheetViews>
  <sheetFormatPr defaultRowHeight="14.4" x14ac:dyDescent="0.3"/>
  <cols>
    <col min="1" max="1" width="7.109375" bestFit="1" customWidth="1"/>
    <col min="2" max="2" width="13.44140625" bestFit="1" customWidth="1"/>
    <col min="3" max="3" width="11.77734375" bestFit="1" customWidth="1"/>
    <col min="4" max="4" width="12" bestFit="1" customWidth="1"/>
    <col min="5" max="5" width="12.44140625" bestFit="1" customWidth="1"/>
    <col min="6" max="6" width="12.44140625" customWidth="1"/>
    <col min="7" max="7" width="19.44140625" bestFit="1" customWidth="1"/>
    <col min="8" max="8" width="12.5546875" bestFit="1" customWidth="1"/>
    <col min="9" max="9" width="27.44140625" customWidth="1"/>
    <col min="10" max="10" width="11.33203125" bestFit="1" customWidth="1"/>
    <col min="15" max="15" width="11" bestFit="1" customWidth="1"/>
  </cols>
  <sheetData>
    <row r="1" spans="1:10" x14ac:dyDescent="0.3">
      <c r="A1" s="2"/>
      <c r="B1" s="2" t="s">
        <v>0</v>
      </c>
      <c r="C1" s="2">
        <v>5200000</v>
      </c>
      <c r="D1" s="2" t="s">
        <v>33</v>
      </c>
      <c r="E1" s="9">
        <v>45505</v>
      </c>
      <c r="I1" s="1" t="s">
        <v>22</v>
      </c>
    </row>
    <row r="2" spans="1:10" x14ac:dyDescent="0.3">
      <c r="A2" s="2"/>
      <c r="B2" s="2"/>
      <c r="C2" s="2"/>
      <c r="D2" s="2" t="s">
        <v>1</v>
      </c>
      <c r="E2" s="2" t="s">
        <v>2</v>
      </c>
      <c r="H2" s="11"/>
      <c r="I2" s="11" t="s">
        <v>21</v>
      </c>
      <c r="J2" s="11" t="s">
        <v>25</v>
      </c>
    </row>
    <row r="3" spans="1:10" x14ac:dyDescent="0.3">
      <c r="A3" s="2"/>
      <c r="B3" s="2" t="s">
        <v>3</v>
      </c>
      <c r="C3" s="2">
        <v>240</v>
      </c>
      <c r="D3" s="2">
        <v>0</v>
      </c>
      <c r="E3" s="3">
        <v>9.5000000000000001E-2</v>
      </c>
      <c r="F3" s="14">
        <v>8.4500000000000006E-2</v>
      </c>
      <c r="H3" s="11">
        <v>1</v>
      </c>
      <c r="I3" s="11" t="s">
        <v>11</v>
      </c>
      <c r="J3" s="11" t="s">
        <v>12</v>
      </c>
    </row>
    <row r="4" spans="1:10" x14ac:dyDescent="0.3">
      <c r="A4" s="2"/>
      <c r="B4" s="2"/>
      <c r="C4" s="2"/>
      <c r="D4" s="2"/>
      <c r="E4" s="3"/>
      <c r="F4" s="14"/>
      <c r="H4" s="11">
        <v>2</v>
      </c>
      <c r="I4" s="11" t="s">
        <v>23</v>
      </c>
      <c r="J4" s="11" t="s">
        <v>24</v>
      </c>
    </row>
    <row r="5" spans="1:10" x14ac:dyDescent="0.3">
      <c r="A5" s="2"/>
      <c r="B5" s="2"/>
      <c r="C5" s="2"/>
      <c r="D5" s="2"/>
      <c r="E5" s="3"/>
      <c r="F5" s="14"/>
      <c r="H5" s="11">
        <v>3</v>
      </c>
      <c r="I5" s="11" t="s">
        <v>4</v>
      </c>
      <c r="J5" s="11" t="s">
        <v>13</v>
      </c>
    </row>
    <row r="6" spans="1:10" x14ac:dyDescent="0.3">
      <c r="A6" s="2"/>
      <c r="B6" s="2"/>
      <c r="C6" s="2"/>
      <c r="D6" s="2"/>
      <c r="E6" s="3"/>
      <c r="F6" s="14"/>
      <c r="H6" s="11">
        <v>4</v>
      </c>
      <c r="I6" s="11" t="s">
        <v>14</v>
      </c>
      <c r="J6" s="11" t="s">
        <v>17</v>
      </c>
    </row>
    <row r="7" spans="1:10" x14ac:dyDescent="0.3">
      <c r="A7" s="2"/>
      <c r="B7" s="2"/>
      <c r="C7" s="2"/>
      <c r="D7" s="2"/>
      <c r="E7" s="3"/>
      <c r="F7" s="14"/>
      <c r="H7" s="11">
        <v>5</v>
      </c>
      <c r="I7" s="11" t="s">
        <v>15</v>
      </c>
      <c r="J7" s="11" t="s">
        <v>16</v>
      </c>
    </row>
    <row r="8" spans="1:10" x14ac:dyDescent="0.3">
      <c r="A8" s="2"/>
      <c r="B8" s="2"/>
      <c r="C8" s="2"/>
      <c r="D8" s="2"/>
      <c r="E8" s="3"/>
      <c r="F8" s="14"/>
      <c r="H8" s="11">
        <v>6</v>
      </c>
      <c r="I8" s="11" t="s">
        <v>18</v>
      </c>
      <c r="J8" s="11" t="s">
        <v>19</v>
      </c>
    </row>
    <row r="9" spans="1:10" x14ac:dyDescent="0.3">
      <c r="A9" s="2"/>
      <c r="B9" s="2"/>
      <c r="C9" s="2"/>
      <c r="D9" s="2"/>
      <c r="E9" s="3"/>
      <c r="F9" s="14"/>
      <c r="H9" s="11">
        <v>7</v>
      </c>
      <c r="I9" s="11" t="s">
        <v>20</v>
      </c>
      <c r="J9" s="11" t="s">
        <v>19</v>
      </c>
    </row>
    <row r="10" spans="1:10" x14ac:dyDescent="0.3">
      <c r="A10" s="2"/>
      <c r="B10" s="2"/>
      <c r="C10" s="2"/>
      <c r="D10" s="2"/>
      <c r="E10" s="3"/>
      <c r="F10" s="14"/>
    </row>
    <row r="11" spans="1:10" x14ac:dyDescent="0.3">
      <c r="A11" s="2"/>
      <c r="B11" s="2"/>
      <c r="C11" s="2"/>
      <c r="D11" s="2"/>
      <c r="E11" s="3"/>
      <c r="F11" s="14"/>
      <c r="I11" s="11" t="s">
        <v>26</v>
      </c>
    </row>
    <row r="12" spans="1:10" x14ac:dyDescent="0.3">
      <c r="A12" s="2"/>
      <c r="B12" s="2"/>
      <c r="C12" s="2"/>
      <c r="D12" s="2"/>
      <c r="E12" s="3"/>
      <c r="F12" s="14"/>
      <c r="H12" s="11">
        <v>1</v>
      </c>
      <c r="I12" s="11" t="s">
        <v>27</v>
      </c>
    </row>
    <row r="13" spans="1:10" x14ac:dyDescent="0.3">
      <c r="A13" s="2"/>
      <c r="B13" s="2"/>
      <c r="C13" s="2"/>
      <c r="D13" s="2"/>
      <c r="E13" s="3"/>
      <c r="F13" s="14"/>
      <c r="H13" s="11">
        <v>2</v>
      </c>
      <c r="I13" s="11" t="s">
        <v>28</v>
      </c>
    </row>
    <row r="14" spans="1:10" x14ac:dyDescent="0.3">
      <c r="A14" s="2"/>
      <c r="B14" s="2"/>
      <c r="C14" s="2"/>
      <c r="D14" s="2"/>
      <c r="E14" s="3"/>
      <c r="F14" s="14"/>
      <c r="H14" s="11">
        <v>3</v>
      </c>
      <c r="I14" s="11" t="s">
        <v>29</v>
      </c>
    </row>
    <row r="15" spans="1:10" x14ac:dyDescent="0.3">
      <c r="A15" s="2"/>
      <c r="B15" s="2"/>
      <c r="C15" s="2"/>
      <c r="D15" s="2"/>
      <c r="E15" s="3"/>
      <c r="F15" s="14"/>
    </row>
    <row r="16" spans="1:10" x14ac:dyDescent="0.3">
      <c r="A16" s="2"/>
      <c r="B16" s="2"/>
      <c r="C16" s="2"/>
      <c r="D16" s="2"/>
      <c r="E16" s="3"/>
      <c r="F16" s="14"/>
    </row>
    <row r="17" spans="1:10" x14ac:dyDescent="0.3">
      <c r="A17" s="2"/>
      <c r="B17" s="2"/>
      <c r="C17" s="2"/>
      <c r="D17" s="2"/>
      <c r="E17" s="3"/>
      <c r="F17" s="14"/>
    </row>
    <row r="18" spans="1:10" x14ac:dyDescent="0.3">
      <c r="A18" s="12"/>
      <c r="B18" t="s">
        <v>4</v>
      </c>
      <c r="C18" s="12">
        <f>PMT(E3/12,C3,-C1)</f>
        <v>48470.821767342946</v>
      </c>
      <c r="D18" s="12">
        <f>((C1*E3/12)*(1+E3/12)^15/((1+E3/12)^(15-1)))</f>
        <v>41492.569444444438</v>
      </c>
    </row>
    <row r="20" spans="1:10" x14ac:dyDescent="0.3">
      <c r="A20" s="5"/>
      <c r="B20" s="5" t="s">
        <v>1</v>
      </c>
      <c r="C20" s="5" t="s">
        <v>5</v>
      </c>
      <c r="D20" s="5" t="s">
        <v>6</v>
      </c>
      <c r="E20" s="5" t="s">
        <v>30</v>
      </c>
      <c r="F20" s="5" t="s">
        <v>31</v>
      </c>
      <c r="G20" s="5" t="s">
        <v>7</v>
      </c>
      <c r="H20" s="5" t="s">
        <v>8</v>
      </c>
      <c r="I20" s="5" t="s">
        <v>32</v>
      </c>
    </row>
    <row r="21" spans="1:10" x14ac:dyDescent="0.3">
      <c r="A21" s="2"/>
      <c r="B21" s="2"/>
      <c r="C21" s="2"/>
      <c r="D21" s="2"/>
      <c r="E21" s="2"/>
      <c r="F21" s="2"/>
      <c r="G21" s="2"/>
      <c r="H21" s="2">
        <f>C1</f>
        <v>5200000</v>
      </c>
      <c r="I21" s="2"/>
    </row>
    <row r="22" spans="1:10" x14ac:dyDescent="0.3">
      <c r="A22" s="9">
        <f>E1</f>
        <v>45505</v>
      </c>
      <c r="B22" s="16">
        <v>1</v>
      </c>
      <c r="C22" s="18">
        <f>IF(H21=0,0,$C$18)</f>
        <v>48470.821767342946</v>
      </c>
      <c r="D22" s="17">
        <f>VLOOKUP(B22,$D$3:$E$17,2)</f>
        <v>9.5000000000000001E-2</v>
      </c>
      <c r="E22" s="18">
        <f t="shared" ref="E22:E85" si="0">H21*(D22/12)</f>
        <v>41166.666666666672</v>
      </c>
      <c r="F22" s="16"/>
      <c r="G22" s="18">
        <f t="shared" ref="G22:G53" si="1">C22-E22</f>
        <v>7304.1551006762747</v>
      </c>
      <c r="H22" s="18">
        <f t="shared" ref="H22:H53" si="2">IF(H21-G22-I22&lt;0,0,H21-G22-I22)</f>
        <v>5167695.8448993238</v>
      </c>
      <c r="I22" s="16">
        <v>25000</v>
      </c>
      <c r="J22" s="15"/>
    </row>
    <row r="23" spans="1:10" x14ac:dyDescent="0.3">
      <c r="A23" s="9">
        <f>EDATE(A22,1)</f>
        <v>45536</v>
      </c>
      <c r="B23" s="16">
        <v>2</v>
      </c>
      <c r="C23" s="18">
        <f t="shared" ref="C23:C86" si="3">IF(H22=0,0,$C$18)</f>
        <v>48470.821767342946</v>
      </c>
      <c r="D23" s="17">
        <f t="shared" ref="D23:D86" si="4">VLOOKUP(B23,$D$3:$E$17,2)</f>
        <v>9.5000000000000001E-2</v>
      </c>
      <c r="E23" s="18">
        <f t="shared" si="0"/>
        <v>40910.925438786318</v>
      </c>
      <c r="F23" s="18"/>
      <c r="G23" s="18">
        <f t="shared" si="1"/>
        <v>7559.8963285566279</v>
      </c>
      <c r="H23" s="18">
        <f t="shared" si="2"/>
        <v>5135135.9485707674</v>
      </c>
      <c r="I23" s="16">
        <v>25000</v>
      </c>
      <c r="J23" s="15"/>
    </row>
    <row r="24" spans="1:10" x14ac:dyDescent="0.3">
      <c r="A24" s="9">
        <f t="shared" ref="A24:A87" si="5">EDATE(A23,1)</f>
        <v>45566</v>
      </c>
      <c r="B24" s="16">
        <v>3</v>
      </c>
      <c r="C24" s="18">
        <f t="shared" si="3"/>
        <v>48470.821767342946</v>
      </c>
      <c r="D24" s="17">
        <f t="shared" si="4"/>
        <v>9.5000000000000001E-2</v>
      </c>
      <c r="E24" s="18">
        <f t="shared" si="0"/>
        <v>40653.159592851909</v>
      </c>
      <c r="F24" s="16"/>
      <c r="G24" s="18">
        <f t="shared" si="1"/>
        <v>7817.6621744910371</v>
      </c>
      <c r="H24" s="18">
        <f t="shared" si="2"/>
        <v>5102318.2863962762</v>
      </c>
      <c r="I24" s="16">
        <v>25000</v>
      </c>
      <c r="J24" s="15"/>
    </row>
    <row r="25" spans="1:10" x14ac:dyDescent="0.3">
      <c r="A25" s="9">
        <f t="shared" si="5"/>
        <v>45597</v>
      </c>
      <c r="B25" s="16">
        <v>4</v>
      </c>
      <c r="C25" s="18">
        <f t="shared" si="3"/>
        <v>48470.821767342946</v>
      </c>
      <c r="D25" s="17">
        <f t="shared" si="4"/>
        <v>9.5000000000000001E-2</v>
      </c>
      <c r="E25" s="18">
        <f t="shared" si="0"/>
        <v>40393.353100637192</v>
      </c>
      <c r="F25" s="18"/>
      <c r="G25" s="18">
        <f t="shared" si="1"/>
        <v>8077.468666705754</v>
      </c>
      <c r="H25" s="18">
        <f t="shared" si="2"/>
        <v>5069240.8177295709</v>
      </c>
      <c r="I25" s="16">
        <v>25000</v>
      </c>
      <c r="J25" s="15"/>
    </row>
    <row r="26" spans="1:10" x14ac:dyDescent="0.3">
      <c r="A26" s="9">
        <f t="shared" si="5"/>
        <v>45627</v>
      </c>
      <c r="B26" s="16">
        <v>5</v>
      </c>
      <c r="C26" s="18">
        <f t="shared" si="3"/>
        <v>48470.821767342946</v>
      </c>
      <c r="D26" s="17">
        <f t="shared" si="4"/>
        <v>9.5000000000000001E-2</v>
      </c>
      <c r="E26" s="18">
        <f t="shared" si="0"/>
        <v>40131.48980702577</v>
      </c>
      <c r="F26" s="16"/>
      <c r="G26" s="18">
        <f t="shared" si="1"/>
        <v>8339.3319603171767</v>
      </c>
      <c r="H26" s="18">
        <f t="shared" si="2"/>
        <v>5035901.4857692542</v>
      </c>
      <c r="I26" s="16">
        <v>25000</v>
      </c>
      <c r="J26" s="15"/>
    </row>
    <row r="27" spans="1:10" x14ac:dyDescent="0.3">
      <c r="A27" s="9">
        <f t="shared" si="5"/>
        <v>45658</v>
      </c>
      <c r="B27" s="16">
        <v>6</v>
      </c>
      <c r="C27" s="18">
        <f t="shared" si="3"/>
        <v>48470.821767342946</v>
      </c>
      <c r="D27" s="17">
        <f t="shared" si="4"/>
        <v>9.5000000000000001E-2</v>
      </c>
      <c r="E27" s="18">
        <f t="shared" si="0"/>
        <v>39867.553429006599</v>
      </c>
      <c r="F27" s="18"/>
      <c r="G27" s="18">
        <f t="shared" si="1"/>
        <v>8603.2683383363474</v>
      </c>
      <c r="H27" s="18">
        <f t="shared" si="2"/>
        <v>5002298.2174309175</v>
      </c>
      <c r="I27" s="16">
        <v>25000</v>
      </c>
      <c r="J27" s="15"/>
    </row>
    <row r="28" spans="1:10" x14ac:dyDescent="0.3">
      <c r="A28" s="9">
        <f t="shared" si="5"/>
        <v>45689</v>
      </c>
      <c r="B28" s="16">
        <v>7</v>
      </c>
      <c r="C28" s="18">
        <f t="shared" si="3"/>
        <v>48470.821767342946</v>
      </c>
      <c r="D28" s="17">
        <f t="shared" si="4"/>
        <v>9.5000000000000001E-2</v>
      </c>
      <c r="E28" s="18">
        <f t="shared" si="0"/>
        <v>39601.527554661436</v>
      </c>
      <c r="F28" s="16"/>
      <c r="G28" s="18">
        <f t="shared" si="1"/>
        <v>8869.2942126815105</v>
      </c>
      <c r="H28" s="18">
        <f t="shared" si="2"/>
        <v>4968428.9232182363</v>
      </c>
      <c r="I28" s="16">
        <v>25000</v>
      </c>
      <c r="J28" s="15"/>
    </row>
    <row r="29" spans="1:10" x14ac:dyDescent="0.3">
      <c r="A29" s="9">
        <f t="shared" si="5"/>
        <v>45717</v>
      </c>
      <c r="B29" s="16">
        <v>8</v>
      </c>
      <c r="C29" s="18">
        <f t="shared" si="3"/>
        <v>48470.821767342946</v>
      </c>
      <c r="D29" s="17">
        <f t="shared" si="4"/>
        <v>9.5000000000000001E-2</v>
      </c>
      <c r="E29" s="18">
        <f t="shared" si="0"/>
        <v>39333.395642144373</v>
      </c>
      <c r="F29" s="18"/>
      <c r="G29" s="18">
        <f t="shared" si="1"/>
        <v>9137.4261251985736</v>
      </c>
      <c r="H29" s="18">
        <f t="shared" si="2"/>
        <v>4934291.4970930377</v>
      </c>
      <c r="I29" s="16">
        <v>25000</v>
      </c>
      <c r="J29" s="15"/>
    </row>
    <row r="30" spans="1:10" x14ac:dyDescent="0.3">
      <c r="A30" s="9">
        <f t="shared" si="5"/>
        <v>45748</v>
      </c>
      <c r="B30" s="16">
        <v>9</v>
      </c>
      <c r="C30" s="18">
        <f t="shared" si="3"/>
        <v>48470.821767342946</v>
      </c>
      <c r="D30" s="17">
        <f t="shared" si="4"/>
        <v>9.5000000000000001E-2</v>
      </c>
      <c r="E30" s="18">
        <f t="shared" si="0"/>
        <v>39063.141018653216</v>
      </c>
      <c r="F30" s="16"/>
      <c r="G30" s="18">
        <f t="shared" si="1"/>
        <v>9407.6807486897305</v>
      </c>
      <c r="H30" s="18">
        <f t="shared" si="2"/>
        <v>4899883.8163443478</v>
      </c>
      <c r="I30" s="16">
        <v>25000</v>
      </c>
      <c r="J30" s="15"/>
    </row>
    <row r="31" spans="1:10" x14ac:dyDescent="0.3">
      <c r="A31" s="9">
        <f t="shared" si="5"/>
        <v>45778</v>
      </c>
      <c r="B31" s="16">
        <v>10</v>
      </c>
      <c r="C31" s="18">
        <f t="shared" si="3"/>
        <v>48470.821767342946</v>
      </c>
      <c r="D31" s="17">
        <f t="shared" si="4"/>
        <v>9.5000000000000001E-2</v>
      </c>
      <c r="E31" s="18">
        <f t="shared" si="0"/>
        <v>38790.746879392755</v>
      </c>
      <c r="F31" s="18"/>
      <c r="G31" s="18">
        <f t="shared" si="1"/>
        <v>9680.0748879501916</v>
      </c>
      <c r="H31" s="18">
        <f t="shared" si="2"/>
        <v>4865203.7414563978</v>
      </c>
      <c r="I31" s="16">
        <v>25000</v>
      </c>
      <c r="J31" s="15"/>
    </row>
    <row r="32" spans="1:10" x14ac:dyDescent="0.3">
      <c r="A32" s="9">
        <f t="shared" si="5"/>
        <v>45809</v>
      </c>
      <c r="B32" s="16">
        <v>11</v>
      </c>
      <c r="C32" s="18">
        <f t="shared" si="3"/>
        <v>48470.821767342946</v>
      </c>
      <c r="D32" s="17">
        <f t="shared" si="4"/>
        <v>9.5000000000000001E-2</v>
      </c>
      <c r="E32" s="18">
        <f t="shared" si="0"/>
        <v>38516.196286529819</v>
      </c>
      <c r="F32" s="16"/>
      <c r="G32" s="18">
        <f t="shared" si="1"/>
        <v>9954.6254808131271</v>
      </c>
      <c r="H32" s="18">
        <f t="shared" si="2"/>
        <v>4830249.1159755848</v>
      </c>
      <c r="I32" s="16">
        <v>25000</v>
      </c>
      <c r="J32" s="15"/>
    </row>
    <row r="33" spans="1:10" x14ac:dyDescent="0.3">
      <c r="A33" s="9">
        <f t="shared" si="5"/>
        <v>45839</v>
      </c>
      <c r="B33" s="16">
        <v>12</v>
      </c>
      <c r="C33" s="18">
        <f t="shared" si="3"/>
        <v>48470.821767342946</v>
      </c>
      <c r="D33" s="17">
        <f t="shared" si="4"/>
        <v>9.5000000000000001E-2</v>
      </c>
      <c r="E33" s="18">
        <f t="shared" si="0"/>
        <v>38239.472168140048</v>
      </c>
      <c r="F33" s="18"/>
      <c r="G33" s="18">
        <f t="shared" si="1"/>
        <v>10231.349599202898</v>
      </c>
      <c r="H33" s="18">
        <f t="shared" si="2"/>
        <v>4795017.7663763817</v>
      </c>
      <c r="I33" s="16">
        <v>25000</v>
      </c>
      <c r="J33" s="15"/>
    </row>
    <row r="34" spans="1:10" x14ac:dyDescent="0.3">
      <c r="A34" s="9">
        <f t="shared" si="5"/>
        <v>45870</v>
      </c>
      <c r="B34" s="16">
        <v>13</v>
      </c>
      <c r="C34" s="18">
        <f t="shared" si="3"/>
        <v>48470.821767342946</v>
      </c>
      <c r="D34" s="17">
        <f t="shared" si="4"/>
        <v>9.5000000000000001E-2</v>
      </c>
      <c r="E34" s="18">
        <f t="shared" si="0"/>
        <v>37960.557317146362</v>
      </c>
      <c r="F34" s="16"/>
      <c r="G34" s="18">
        <f t="shared" si="1"/>
        <v>10510.264450196584</v>
      </c>
      <c r="H34" s="18">
        <f t="shared" si="2"/>
        <v>4784507.5019261856</v>
      </c>
      <c r="I34" s="16"/>
      <c r="J34" s="15"/>
    </row>
    <row r="35" spans="1:10" x14ac:dyDescent="0.3">
      <c r="A35" s="9">
        <f t="shared" si="5"/>
        <v>45901</v>
      </c>
      <c r="B35" s="16">
        <v>14</v>
      </c>
      <c r="C35" s="18">
        <f t="shared" si="3"/>
        <v>48470.821767342946</v>
      </c>
      <c r="D35" s="17">
        <f t="shared" si="4"/>
        <v>9.5000000000000001E-2</v>
      </c>
      <c r="E35" s="18">
        <f t="shared" si="0"/>
        <v>37877.351056915642</v>
      </c>
      <c r="F35" s="18"/>
      <c r="G35" s="18">
        <f t="shared" si="1"/>
        <v>10593.470710427304</v>
      </c>
      <c r="H35" s="18">
        <f t="shared" si="2"/>
        <v>4773914.0312157581</v>
      </c>
      <c r="I35" s="16"/>
      <c r="J35" s="15"/>
    </row>
    <row r="36" spans="1:10" x14ac:dyDescent="0.3">
      <c r="A36" s="9">
        <f t="shared" si="5"/>
        <v>45931</v>
      </c>
      <c r="B36" s="16">
        <v>15</v>
      </c>
      <c r="C36" s="18">
        <f t="shared" si="3"/>
        <v>48470.821767342946</v>
      </c>
      <c r="D36" s="17">
        <f t="shared" si="4"/>
        <v>9.5000000000000001E-2</v>
      </c>
      <c r="E36" s="18">
        <f t="shared" si="0"/>
        <v>37793.486080458089</v>
      </c>
      <c r="F36" s="16"/>
      <c r="G36" s="18">
        <f t="shared" si="1"/>
        <v>10677.335686884857</v>
      </c>
      <c r="H36" s="18">
        <f t="shared" si="2"/>
        <v>4763236.6955288732</v>
      </c>
      <c r="I36" s="16"/>
      <c r="J36" s="15"/>
    </row>
    <row r="37" spans="1:10" x14ac:dyDescent="0.3">
      <c r="A37" s="9">
        <f t="shared" si="5"/>
        <v>45962</v>
      </c>
      <c r="B37" s="16">
        <v>16</v>
      </c>
      <c r="C37" s="18">
        <f t="shared" si="3"/>
        <v>48470.821767342946</v>
      </c>
      <c r="D37" s="17">
        <f t="shared" si="4"/>
        <v>9.5000000000000001E-2</v>
      </c>
      <c r="E37" s="18">
        <f t="shared" si="0"/>
        <v>37708.95717293692</v>
      </c>
      <c r="F37" s="18"/>
      <c r="G37" s="18">
        <f t="shared" si="1"/>
        <v>10761.864594406026</v>
      </c>
      <c r="H37" s="18">
        <f t="shared" si="2"/>
        <v>4752474.8309344668</v>
      </c>
      <c r="I37" s="16"/>
      <c r="J37" s="15"/>
    </row>
    <row r="38" spans="1:10" x14ac:dyDescent="0.3">
      <c r="A38" s="9">
        <f t="shared" si="5"/>
        <v>45992</v>
      </c>
      <c r="B38" s="16">
        <v>17</v>
      </c>
      <c r="C38" s="18">
        <f t="shared" si="3"/>
        <v>48470.821767342946</v>
      </c>
      <c r="D38" s="17">
        <f t="shared" si="4"/>
        <v>9.5000000000000001E-2</v>
      </c>
      <c r="E38" s="18">
        <f t="shared" si="0"/>
        <v>37623.759078231196</v>
      </c>
      <c r="F38" s="16"/>
      <c r="G38" s="18">
        <f t="shared" si="1"/>
        <v>10847.06268911175</v>
      </c>
      <c r="H38" s="18">
        <f t="shared" si="2"/>
        <v>4741627.7682453552</v>
      </c>
      <c r="I38" s="16"/>
      <c r="J38" s="15"/>
    </row>
    <row r="39" spans="1:10" x14ac:dyDescent="0.3">
      <c r="A39" s="9">
        <f t="shared" si="5"/>
        <v>46023</v>
      </c>
      <c r="B39" s="16">
        <v>18</v>
      </c>
      <c r="C39" s="18">
        <f t="shared" si="3"/>
        <v>48470.821767342946</v>
      </c>
      <c r="D39" s="17">
        <f t="shared" si="4"/>
        <v>9.5000000000000001E-2</v>
      </c>
      <c r="E39" s="18">
        <f t="shared" si="0"/>
        <v>37537.886498609063</v>
      </c>
      <c r="F39" s="18"/>
      <c r="G39" s="18">
        <f t="shared" si="1"/>
        <v>10932.935268733883</v>
      </c>
      <c r="H39" s="18">
        <f t="shared" si="2"/>
        <v>4730694.8329766216</v>
      </c>
      <c r="I39" s="16"/>
      <c r="J39" s="15"/>
    </row>
    <row r="40" spans="1:10" x14ac:dyDescent="0.3">
      <c r="A40" s="9">
        <f t="shared" si="5"/>
        <v>46054</v>
      </c>
      <c r="B40" s="16">
        <v>19</v>
      </c>
      <c r="C40" s="18">
        <f t="shared" si="3"/>
        <v>48470.821767342946</v>
      </c>
      <c r="D40" s="17">
        <f t="shared" si="4"/>
        <v>9.5000000000000001E-2</v>
      </c>
      <c r="E40" s="18">
        <f t="shared" si="0"/>
        <v>37451.334094398255</v>
      </c>
      <c r="F40" s="16"/>
      <c r="G40" s="18">
        <f t="shared" si="1"/>
        <v>11019.487672944691</v>
      </c>
      <c r="H40" s="18">
        <f t="shared" si="2"/>
        <v>4719675.345303677</v>
      </c>
      <c r="I40" s="16"/>
      <c r="J40" s="15"/>
    </row>
    <row r="41" spans="1:10" x14ac:dyDescent="0.3">
      <c r="A41" s="9">
        <f t="shared" si="5"/>
        <v>46082</v>
      </c>
      <c r="B41" s="16">
        <v>20</v>
      </c>
      <c r="C41" s="18">
        <f t="shared" si="3"/>
        <v>48470.821767342946</v>
      </c>
      <c r="D41" s="17">
        <f t="shared" si="4"/>
        <v>9.5000000000000001E-2</v>
      </c>
      <c r="E41" s="18">
        <f t="shared" si="0"/>
        <v>37364.09648365411</v>
      </c>
      <c r="F41" s="18"/>
      <c r="G41" s="18">
        <f t="shared" si="1"/>
        <v>11106.725283688836</v>
      </c>
      <c r="H41" s="18">
        <f t="shared" si="2"/>
        <v>4708568.6200199882</v>
      </c>
      <c r="I41" s="16"/>
      <c r="J41" s="15"/>
    </row>
    <row r="42" spans="1:10" x14ac:dyDescent="0.3">
      <c r="A42" s="9">
        <f t="shared" si="5"/>
        <v>46113</v>
      </c>
      <c r="B42" s="16">
        <v>21</v>
      </c>
      <c r="C42" s="18">
        <f t="shared" si="3"/>
        <v>48470.821767342946</v>
      </c>
      <c r="D42" s="17">
        <f t="shared" si="4"/>
        <v>9.5000000000000001E-2</v>
      </c>
      <c r="E42" s="18">
        <f t="shared" si="0"/>
        <v>37276.168241824911</v>
      </c>
      <c r="F42" s="16"/>
      <c r="G42" s="18">
        <f t="shared" si="1"/>
        <v>11194.653525518035</v>
      </c>
      <c r="H42" s="18">
        <f t="shared" si="2"/>
        <v>4697373.9664944699</v>
      </c>
      <c r="I42" s="16"/>
      <c r="J42" s="15"/>
    </row>
    <row r="43" spans="1:10" x14ac:dyDescent="0.3">
      <c r="A43" s="9">
        <f t="shared" si="5"/>
        <v>46143</v>
      </c>
      <c r="B43" s="16">
        <v>22</v>
      </c>
      <c r="C43" s="18">
        <f t="shared" si="3"/>
        <v>48470.821767342946</v>
      </c>
      <c r="D43" s="17">
        <f t="shared" si="4"/>
        <v>9.5000000000000001E-2</v>
      </c>
      <c r="E43" s="18">
        <f t="shared" si="0"/>
        <v>37187.54390141456</v>
      </c>
      <c r="F43" s="18"/>
      <c r="G43" s="18">
        <f t="shared" si="1"/>
        <v>11283.277865928387</v>
      </c>
      <c r="H43" s="18">
        <f t="shared" si="2"/>
        <v>4686090.6886285413</v>
      </c>
      <c r="I43" s="16"/>
      <c r="J43" s="15"/>
    </row>
    <row r="44" spans="1:10" x14ac:dyDescent="0.3">
      <c r="A44" s="9">
        <f t="shared" si="5"/>
        <v>46174</v>
      </c>
      <c r="B44" s="16">
        <v>23</v>
      </c>
      <c r="C44" s="18">
        <f t="shared" si="3"/>
        <v>48470.821767342946</v>
      </c>
      <c r="D44" s="17">
        <f t="shared" si="4"/>
        <v>9.5000000000000001E-2</v>
      </c>
      <c r="E44" s="18">
        <f t="shared" si="0"/>
        <v>37098.217951642619</v>
      </c>
      <c r="F44" s="16"/>
      <c r="G44" s="18">
        <f t="shared" si="1"/>
        <v>11372.603815700328</v>
      </c>
      <c r="H44" s="18">
        <f t="shared" si="2"/>
        <v>4674718.0848128414</v>
      </c>
      <c r="I44" s="16"/>
      <c r="J44" s="15"/>
    </row>
    <row r="45" spans="1:10" x14ac:dyDescent="0.3">
      <c r="A45" s="9">
        <f t="shared" si="5"/>
        <v>46204</v>
      </c>
      <c r="B45" s="16">
        <v>24</v>
      </c>
      <c r="C45" s="18">
        <f t="shared" si="3"/>
        <v>48470.821767342946</v>
      </c>
      <c r="D45" s="17">
        <f t="shared" si="4"/>
        <v>9.5000000000000001E-2</v>
      </c>
      <c r="E45" s="18">
        <f t="shared" si="0"/>
        <v>37008.184838101661</v>
      </c>
      <c r="F45" s="18"/>
      <c r="G45" s="18">
        <f t="shared" si="1"/>
        <v>11462.636929241286</v>
      </c>
      <c r="H45" s="18">
        <f t="shared" si="2"/>
        <v>4663255.4478836004</v>
      </c>
      <c r="I45" s="16"/>
      <c r="J45" s="15"/>
    </row>
    <row r="46" spans="1:10" x14ac:dyDescent="0.3">
      <c r="A46" s="9">
        <f t="shared" si="5"/>
        <v>46235</v>
      </c>
      <c r="B46" s="16">
        <v>25</v>
      </c>
      <c r="C46" s="18">
        <f t="shared" si="3"/>
        <v>48470.821767342946</v>
      </c>
      <c r="D46" s="17">
        <f t="shared" si="4"/>
        <v>9.5000000000000001E-2</v>
      </c>
      <c r="E46" s="18">
        <f t="shared" si="0"/>
        <v>36917.438962411841</v>
      </c>
      <c r="F46" s="16"/>
      <c r="G46" s="18">
        <f t="shared" si="1"/>
        <v>11553.382804931105</v>
      </c>
      <c r="H46" s="18">
        <f t="shared" si="2"/>
        <v>4651702.0650786692</v>
      </c>
      <c r="I46" s="16"/>
      <c r="J46" s="15"/>
    </row>
    <row r="47" spans="1:10" x14ac:dyDescent="0.3">
      <c r="A47" s="9">
        <f t="shared" si="5"/>
        <v>46266</v>
      </c>
      <c r="B47" s="16">
        <v>26</v>
      </c>
      <c r="C47" s="18">
        <f t="shared" si="3"/>
        <v>48470.821767342946</v>
      </c>
      <c r="D47" s="17">
        <f t="shared" si="4"/>
        <v>9.5000000000000001E-2</v>
      </c>
      <c r="E47" s="18">
        <f t="shared" si="0"/>
        <v>36825.974681872802</v>
      </c>
      <c r="F47" s="18"/>
      <c r="G47" s="18">
        <f t="shared" si="1"/>
        <v>11644.847085470145</v>
      </c>
      <c r="H47" s="18">
        <f t="shared" si="2"/>
        <v>4640057.2179931989</v>
      </c>
      <c r="I47" s="16"/>
      <c r="J47" s="15"/>
    </row>
    <row r="48" spans="1:10" x14ac:dyDescent="0.3">
      <c r="A48" s="9">
        <f t="shared" si="5"/>
        <v>46296</v>
      </c>
      <c r="B48" s="16">
        <v>27</v>
      </c>
      <c r="C48" s="18">
        <f t="shared" si="3"/>
        <v>48470.821767342946</v>
      </c>
      <c r="D48" s="17">
        <f t="shared" si="4"/>
        <v>9.5000000000000001E-2</v>
      </c>
      <c r="E48" s="18">
        <f t="shared" si="0"/>
        <v>36733.786309112831</v>
      </c>
      <c r="F48" s="16"/>
      <c r="G48" s="18">
        <f t="shared" si="1"/>
        <v>11737.035458230115</v>
      </c>
      <c r="H48" s="18">
        <f t="shared" si="2"/>
        <v>4628320.1825349685</v>
      </c>
      <c r="I48" s="16"/>
      <c r="J48" s="15"/>
    </row>
    <row r="49" spans="1:10" x14ac:dyDescent="0.3">
      <c r="A49" s="9">
        <f t="shared" si="5"/>
        <v>46327</v>
      </c>
      <c r="B49" s="16">
        <v>28</v>
      </c>
      <c r="C49" s="18">
        <f t="shared" si="3"/>
        <v>48470.821767342946</v>
      </c>
      <c r="D49" s="17">
        <f t="shared" si="4"/>
        <v>9.5000000000000001E-2</v>
      </c>
      <c r="E49" s="18">
        <f t="shared" si="0"/>
        <v>36640.868111735173</v>
      </c>
      <c r="F49" s="18"/>
      <c r="G49" s="18">
        <f t="shared" si="1"/>
        <v>11829.953655607773</v>
      </c>
      <c r="H49" s="18">
        <f t="shared" si="2"/>
        <v>4616490.2288793605</v>
      </c>
      <c r="I49" s="16"/>
      <c r="J49" s="15"/>
    </row>
    <row r="50" spans="1:10" x14ac:dyDescent="0.3">
      <c r="A50" s="9">
        <f t="shared" si="5"/>
        <v>46357</v>
      </c>
      <c r="B50" s="16">
        <v>29</v>
      </c>
      <c r="C50" s="18">
        <f t="shared" si="3"/>
        <v>48470.821767342946</v>
      </c>
      <c r="D50" s="17">
        <f t="shared" si="4"/>
        <v>9.5000000000000001E-2</v>
      </c>
      <c r="E50" s="18">
        <f t="shared" si="0"/>
        <v>36547.214311961608</v>
      </c>
      <c r="F50" s="16"/>
      <c r="G50" s="18">
        <f t="shared" si="1"/>
        <v>11923.607455381338</v>
      </c>
      <c r="H50" s="18">
        <f t="shared" si="2"/>
        <v>4604566.6214239793</v>
      </c>
      <c r="I50" s="16"/>
      <c r="J50" s="15"/>
    </row>
    <row r="51" spans="1:10" x14ac:dyDescent="0.3">
      <c r="A51" s="9">
        <f t="shared" si="5"/>
        <v>46388</v>
      </c>
      <c r="B51" s="16">
        <v>30</v>
      </c>
      <c r="C51" s="18">
        <f t="shared" si="3"/>
        <v>48470.821767342946</v>
      </c>
      <c r="D51" s="17">
        <f t="shared" si="4"/>
        <v>9.5000000000000001E-2</v>
      </c>
      <c r="E51" s="18">
        <f t="shared" si="0"/>
        <v>36452.819086273172</v>
      </c>
      <c r="F51" s="18"/>
      <c r="G51" s="18">
        <f t="shared" si="1"/>
        <v>12018.002681069775</v>
      </c>
      <c r="H51" s="18">
        <f t="shared" si="2"/>
        <v>4592548.6187429093</v>
      </c>
      <c r="I51" s="16"/>
      <c r="J51" s="15"/>
    </row>
    <row r="52" spans="1:10" x14ac:dyDescent="0.3">
      <c r="A52" s="9">
        <f t="shared" si="5"/>
        <v>46419</v>
      </c>
      <c r="B52" s="16">
        <v>31</v>
      </c>
      <c r="C52" s="18">
        <f t="shared" si="3"/>
        <v>48470.821767342946</v>
      </c>
      <c r="D52" s="17">
        <f t="shared" si="4"/>
        <v>9.5000000000000001E-2</v>
      </c>
      <c r="E52" s="18">
        <f t="shared" si="0"/>
        <v>36357.676565048037</v>
      </c>
      <c r="F52" s="16"/>
      <c r="G52" s="18">
        <f t="shared" si="1"/>
        <v>12113.145202294909</v>
      </c>
      <c r="H52" s="18">
        <f t="shared" si="2"/>
        <v>4580435.4735406144</v>
      </c>
      <c r="I52" s="16"/>
      <c r="J52" s="15"/>
    </row>
    <row r="53" spans="1:10" x14ac:dyDescent="0.3">
      <c r="A53" s="9">
        <f t="shared" si="5"/>
        <v>46447</v>
      </c>
      <c r="B53" s="16">
        <v>32</v>
      </c>
      <c r="C53" s="18">
        <f t="shared" si="3"/>
        <v>48470.821767342946</v>
      </c>
      <c r="D53" s="17">
        <f t="shared" si="4"/>
        <v>9.5000000000000001E-2</v>
      </c>
      <c r="E53" s="18">
        <f t="shared" si="0"/>
        <v>36261.780832196535</v>
      </c>
      <c r="F53" s="18"/>
      <c r="G53" s="18">
        <f t="shared" si="1"/>
        <v>12209.040935146411</v>
      </c>
      <c r="H53" s="18">
        <f t="shared" si="2"/>
        <v>4568226.4326054677</v>
      </c>
      <c r="I53" s="16"/>
      <c r="J53" s="15"/>
    </row>
    <row r="54" spans="1:10" x14ac:dyDescent="0.3">
      <c r="A54" s="9">
        <f t="shared" si="5"/>
        <v>46478</v>
      </c>
      <c r="B54" s="16">
        <v>33</v>
      </c>
      <c r="C54" s="18">
        <f t="shared" si="3"/>
        <v>48470.821767342946</v>
      </c>
      <c r="D54" s="17">
        <f t="shared" si="4"/>
        <v>9.5000000000000001E-2</v>
      </c>
      <c r="E54" s="18">
        <f t="shared" si="0"/>
        <v>36165.12592479329</v>
      </c>
      <c r="F54" s="16"/>
      <c r="G54" s="18">
        <f t="shared" ref="G54:G85" si="6">C54-E54</f>
        <v>12305.695842549656</v>
      </c>
      <c r="H54" s="18">
        <f t="shared" ref="H54:H85" si="7">IF(H53-G54-I54&lt;0,0,H53-G54-I54)</f>
        <v>4555920.7367629185</v>
      </c>
      <c r="I54" s="16"/>
      <c r="J54" s="15"/>
    </row>
    <row r="55" spans="1:10" x14ac:dyDescent="0.3">
      <c r="A55" s="9">
        <f t="shared" si="5"/>
        <v>46508</v>
      </c>
      <c r="B55" s="16">
        <v>34</v>
      </c>
      <c r="C55" s="18">
        <f t="shared" si="3"/>
        <v>48470.821767342946</v>
      </c>
      <c r="D55" s="17">
        <f t="shared" si="4"/>
        <v>9.5000000000000001E-2</v>
      </c>
      <c r="E55" s="18">
        <f t="shared" si="0"/>
        <v>36067.705832706444</v>
      </c>
      <c r="F55" s="18"/>
      <c r="G55" s="18">
        <f t="shared" si="6"/>
        <v>12403.115934636502</v>
      </c>
      <c r="H55" s="18">
        <f t="shared" si="7"/>
        <v>4543517.6208282821</v>
      </c>
      <c r="I55" s="16"/>
      <c r="J55" s="15"/>
    </row>
    <row r="56" spans="1:10" x14ac:dyDescent="0.3">
      <c r="A56" s="9">
        <f t="shared" si="5"/>
        <v>46539</v>
      </c>
      <c r="B56" s="16">
        <v>35</v>
      </c>
      <c r="C56" s="18">
        <f t="shared" si="3"/>
        <v>48470.821767342946</v>
      </c>
      <c r="D56" s="17">
        <f t="shared" si="4"/>
        <v>9.5000000000000001E-2</v>
      </c>
      <c r="E56" s="18">
        <f t="shared" si="0"/>
        <v>35969.5144982239</v>
      </c>
      <c r="F56" s="16"/>
      <c r="G56" s="18">
        <f t="shared" si="6"/>
        <v>12501.307269119046</v>
      </c>
      <c r="H56" s="18">
        <f t="shared" si="7"/>
        <v>4531016.3135591634</v>
      </c>
      <c r="I56" s="16"/>
      <c r="J56" s="15"/>
    </row>
    <row r="57" spans="1:10" x14ac:dyDescent="0.3">
      <c r="A57" s="9">
        <f t="shared" si="5"/>
        <v>46569</v>
      </c>
      <c r="B57" s="16">
        <v>36</v>
      </c>
      <c r="C57" s="18">
        <f t="shared" si="3"/>
        <v>48470.821767342946</v>
      </c>
      <c r="D57" s="17">
        <f t="shared" si="4"/>
        <v>9.5000000000000001E-2</v>
      </c>
      <c r="E57" s="18">
        <f t="shared" si="0"/>
        <v>35870.545815676713</v>
      </c>
      <c r="F57" s="18"/>
      <c r="G57" s="18">
        <f t="shared" si="6"/>
        <v>12600.275951666234</v>
      </c>
      <c r="H57" s="18">
        <f t="shared" si="7"/>
        <v>4518416.0376074975</v>
      </c>
      <c r="I57" s="16"/>
      <c r="J57" s="15"/>
    </row>
    <row r="58" spans="1:10" x14ac:dyDescent="0.3">
      <c r="A58" s="9">
        <f t="shared" si="5"/>
        <v>46600</v>
      </c>
      <c r="B58" s="16">
        <v>37</v>
      </c>
      <c r="C58" s="18">
        <f t="shared" si="3"/>
        <v>48470.821767342946</v>
      </c>
      <c r="D58" s="17">
        <f t="shared" si="4"/>
        <v>9.5000000000000001E-2</v>
      </c>
      <c r="E58" s="18">
        <f t="shared" si="0"/>
        <v>35770.793631059358</v>
      </c>
      <c r="F58" s="16"/>
      <c r="G58" s="18">
        <f t="shared" si="6"/>
        <v>12700.028136283589</v>
      </c>
      <c r="H58" s="18">
        <f t="shared" si="7"/>
        <v>4505716.0094712144</v>
      </c>
      <c r="I58" s="16"/>
      <c r="J58" s="15"/>
    </row>
    <row r="59" spans="1:10" x14ac:dyDescent="0.3">
      <c r="A59" s="9">
        <f t="shared" si="5"/>
        <v>46631</v>
      </c>
      <c r="B59" s="16">
        <v>38</v>
      </c>
      <c r="C59" s="18">
        <f t="shared" si="3"/>
        <v>48470.821767342946</v>
      </c>
      <c r="D59" s="17">
        <f t="shared" si="4"/>
        <v>9.5000000000000001E-2</v>
      </c>
      <c r="E59" s="18">
        <f t="shared" si="0"/>
        <v>35670.251741647116</v>
      </c>
      <c r="F59" s="18"/>
      <c r="G59" s="18">
        <f t="shared" si="6"/>
        <v>12800.57002569583</v>
      </c>
      <c r="H59" s="18">
        <f t="shared" si="7"/>
        <v>4492915.4394455189</v>
      </c>
      <c r="I59" s="16"/>
      <c r="J59" s="15"/>
    </row>
    <row r="60" spans="1:10" x14ac:dyDescent="0.3">
      <c r="A60" s="9">
        <f t="shared" si="5"/>
        <v>46661</v>
      </c>
      <c r="B60" s="16">
        <v>39</v>
      </c>
      <c r="C60" s="18">
        <f t="shared" si="3"/>
        <v>48470.821767342946</v>
      </c>
      <c r="D60" s="17">
        <f t="shared" si="4"/>
        <v>9.5000000000000001E-2</v>
      </c>
      <c r="E60" s="18">
        <f t="shared" si="0"/>
        <v>35568.913895610363</v>
      </c>
      <c r="F60" s="16"/>
      <c r="G60" s="18">
        <f t="shared" si="6"/>
        <v>12901.907871732583</v>
      </c>
      <c r="H60" s="18">
        <f t="shared" si="7"/>
        <v>4480013.5315737864</v>
      </c>
      <c r="I60" s="16"/>
      <c r="J60" s="15"/>
    </row>
    <row r="61" spans="1:10" x14ac:dyDescent="0.3">
      <c r="A61" s="9">
        <f t="shared" si="5"/>
        <v>46692</v>
      </c>
      <c r="B61" s="16">
        <v>40</v>
      </c>
      <c r="C61" s="18">
        <f t="shared" si="3"/>
        <v>48470.821767342946</v>
      </c>
      <c r="D61" s="17">
        <f t="shared" si="4"/>
        <v>9.5000000000000001E-2</v>
      </c>
      <c r="E61" s="18">
        <f t="shared" si="0"/>
        <v>35466.773791625812</v>
      </c>
      <c r="F61" s="18"/>
      <c r="G61" s="18">
        <f t="shared" si="6"/>
        <v>13004.047975717134</v>
      </c>
      <c r="H61" s="18">
        <f t="shared" si="7"/>
        <v>4467009.4835980693</v>
      </c>
      <c r="I61" s="16"/>
      <c r="J61" s="15"/>
    </row>
    <row r="62" spans="1:10" x14ac:dyDescent="0.3">
      <c r="A62" s="9">
        <f t="shared" si="5"/>
        <v>46722</v>
      </c>
      <c r="B62" s="16">
        <v>41</v>
      </c>
      <c r="C62" s="18">
        <f t="shared" si="3"/>
        <v>48470.821767342946</v>
      </c>
      <c r="D62" s="17">
        <f t="shared" si="4"/>
        <v>9.5000000000000001E-2</v>
      </c>
      <c r="E62" s="18">
        <f t="shared" si="0"/>
        <v>35363.825078484719</v>
      </c>
      <c r="F62" s="16"/>
      <c r="G62" s="18">
        <f t="shared" si="6"/>
        <v>13106.996688858228</v>
      </c>
      <c r="H62" s="18">
        <f t="shared" si="7"/>
        <v>4453902.4869092107</v>
      </c>
      <c r="I62" s="16"/>
      <c r="J62" s="15"/>
    </row>
    <row r="63" spans="1:10" x14ac:dyDescent="0.3">
      <c r="A63" s="9">
        <f t="shared" si="5"/>
        <v>46753</v>
      </c>
      <c r="B63" s="16">
        <v>42</v>
      </c>
      <c r="C63" s="18">
        <f t="shared" si="3"/>
        <v>48470.821767342946</v>
      </c>
      <c r="D63" s="17">
        <f t="shared" si="4"/>
        <v>9.5000000000000001E-2</v>
      </c>
      <c r="E63" s="18">
        <f t="shared" si="0"/>
        <v>35260.061354697922</v>
      </c>
      <c r="F63" s="18"/>
      <c r="G63" s="18">
        <f t="shared" si="6"/>
        <v>13210.760412645024</v>
      </c>
      <c r="H63" s="18">
        <f t="shared" si="7"/>
        <v>4440691.7264965661</v>
      </c>
      <c r="I63" s="16"/>
      <c r="J63" s="15"/>
    </row>
    <row r="64" spans="1:10" x14ac:dyDescent="0.3">
      <c r="A64" s="9">
        <f t="shared" si="5"/>
        <v>46784</v>
      </c>
      <c r="B64" s="16">
        <v>43</v>
      </c>
      <c r="C64" s="18">
        <f t="shared" si="3"/>
        <v>48470.821767342946</v>
      </c>
      <c r="D64" s="17">
        <f t="shared" si="4"/>
        <v>9.5000000000000001E-2</v>
      </c>
      <c r="E64" s="18">
        <f t="shared" si="0"/>
        <v>35155.476168097819</v>
      </c>
      <c r="F64" s="16"/>
      <c r="G64" s="18">
        <f t="shared" si="6"/>
        <v>13315.345599245127</v>
      </c>
      <c r="H64" s="18">
        <f t="shared" si="7"/>
        <v>4427376.3808973208</v>
      </c>
      <c r="I64" s="16"/>
      <c r="J64" s="15"/>
    </row>
    <row r="65" spans="1:10" x14ac:dyDescent="0.3">
      <c r="A65" s="9">
        <f t="shared" si="5"/>
        <v>46813</v>
      </c>
      <c r="B65" s="16">
        <v>44</v>
      </c>
      <c r="C65" s="18">
        <f t="shared" si="3"/>
        <v>48470.821767342946</v>
      </c>
      <c r="D65" s="17">
        <f t="shared" si="4"/>
        <v>9.5000000000000001E-2</v>
      </c>
      <c r="E65" s="18">
        <f t="shared" si="0"/>
        <v>35050.063015437125</v>
      </c>
      <c r="F65" s="18"/>
      <c r="G65" s="18">
        <f t="shared" si="6"/>
        <v>13420.758751905822</v>
      </c>
      <c r="H65" s="18">
        <f t="shared" si="7"/>
        <v>4413955.6221454153</v>
      </c>
      <c r="I65" s="16"/>
      <c r="J65" s="15"/>
    </row>
    <row r="66" spans="1:10" x14ac:dyDescent="0.3">
      <c r="A66" s="9">
        <f t="shared" si="5"/>
        <v>46844</v>
      </c>
      <c r="B66" s="16">
        <v>45</v>
      </c>
      <c r="C66" s="18">
        <f t="shared" si="3"/>
        <v>48470.821767342946</v>
      </c>
      <c r="D66" s="17">
        <f t="shared" si="4"/>
        <v>9.5000000000000001E-2</v>
      </c>
      <c r="E66" s="18">
        <f t="shared" si="0"/>
        <v>34943.81534198454</v>
      </c>
      <c r="F66" s="16"/>
      <c r="G66" s="18">
        <f t="shared" si="6"/>
        <v>13527.006425358406</v>
      </c>
      <c r="H66" s="18">
        <f t="shared" si="7"/>
        <v>4400428.6157200569</v>
      </c>
      <c r="I66" s="16"/>
      <c r="J66" s="15"/>
    </row>
    <row r="67" spans="1:10" x14ac:dyDescent="0.3">
      <c r="A67" s="9">
        <f t="shared" si="5"/>
        <v>46874</v>
      </c>
      <c r="B67" s="16">
        <v>46</v>
      </c>
      <c r="C67" s="18">
        <f t="shared" si="3"/>
        <v>48470.821767342946</v>
      </c>
      <c r="D67" s="17">
        <f t="shared" si="4"/>
        <v>9.5000000000000001E-2</v>
      </c>
      <c r="E67" s="18">
        <f t="shared" si="0"/>
        <v>34836.726541117117</v>
      </c>
      <c r="F67" s="18"/>
      <c r="G67" s="18">
        <f t="shared" si="6"/>
        <v>13634.095226225829</v>
      </c>
      <c r="H67" s="18">
        <f t="shared" si="7"/>
        <v>4386794.5204938315</v>
      </c>
      <c r="I67" s="16"/>
      <c r="J67" s="15"/>
    </row>
    <row r="68" spans="1:10" x14ac:dyDescent="0.3">
      <c r="A68" s="9">
        <f t="shared" si="5"/>
        <v>46905</v>
      </c>
      <c r="B68" s="16">
        <v>47</v>
      </c>
      <c r="C68" s="18">
        <f t="shared" si="3"/>
        <v>48470.821767342946</v>
      </c>
      <c r="D68" s="17">
        <f t="shared" si="4"/>
        <v>9.5000000000000001E-2</v>
      </c>
      <c r="E68" s="18">
        <f t="shared" si="0"/>
        <v>34728.789953909501</v>
      </c>
      <c r="F68" s="16"/>
      <c r="G68" s="18">
        <f t="shared" si="6"/>
        <v>13742.031813433445</v>
      </c>
      <c r="H68" s="18">
        <f t="shared" si="7"/>
        <v>4373052.4886803981</v>
      </c>
      <c r="I68" s="16"/>
      <c r="J68" s="15"/>
    </row>
    <row r="69" spans="1:10" x14ac:dyDescent="0.3">
      <c r="A69" s="9">
        <f t="shared" si="5"/>
        <v>46935</v>
      </c>
      <c r="B69" s="16">
        <v>48</v>
      </c>
      <c r="C69" s="18">
        <f t="shared" si="3"/>
        <v>48470.821767342946</v>
      </c>
      <c r="D69" s="17">
        <f t="shared" si="4"/>
        <v>9.5000000000000001E-2</v>
      </c>
      <c r="E69" s="18">
        <f t="shared" si="0"/>
        <v>34619.99886871982</v>
      </c>
      <c r="F69" s="18"/>
      <c r="G69" s="18">
        <f t="shared" si="6"/>
        <v>13850.822898623126</v>
      </c>
      <c r="H69" s="18">
        <f t="shared" si="7"/>
        <v>4359201.6657817746</v>
      </c>
      <c r="I69" s="16"/>
      <c r="J69" s="15"/>
    </row>
    <row r="70" spans="1:10" x14ac:dyDescent="0.3">
      <c r="A70" s="9">
        <f t="shared" si="5"/>
        <v>46966</v>
      </c>
      <c r="B70" s="16">
        <v>49</v>
      </c>
      <c r="C70" s="18">
        <f t="shared" si="3"/>
        <v>48470.821767342946</v>
      </c>
      <c r="D70" s="17">
        <f t="shared" si="4"/>
        <v>9.5000000000000001E-2</v>
      </c>
      <c r="E70" s="18">
        <f t="shared" si="0"/>
        <v>34510.346520772386</v>
      </c>
      <c r="F70" s="18"/>
      <c r="G70" s="18">
        <f t="shared" si="6"/>
        <v>13960.475246570561</v>
      </c>
      <c r="H70" s="18">
        <f t="shared" si="7"/>
        <v>4345241.1905352036</v>
      </c>
      <c r="I70" s="16"/>
      <c r="J70" s="15"/>
    </row>
    <row r="71" spans="1:10" x14ac:dyDescent="0.3">
      <c r="A71" s="9">
        <f t="shared" si="5"/>
        <v>46997</v>
      </c>
      <c r="B71" s="16">
        <v>50</v>
      </c>
      <c r="C71" s="18">
        <f t="shared" si="3"/>
        <v>48470.821767342946</v>
      </c>
      <c r="D71" s="17">
        <f t="shared" si="4"/>
        <v>9.5000000000000001E-2</v>
      </c>
      <c r="E71" s="18">
        <f t="shared" si="0"/>
        <v>34399.826091737028</v>
      </c>
      <c r="F71" s="18"/>
      <c r="G71" s="18">
        <f t="shared" si="6"/>
        <v>14070.995675605918</v>
      </c>
      <c r="H71" s="18">
        <f t="shared" si="7"/>
        <v>4331170.1948595978</v>
      </c>
      <c r="I71" s="16"/>
      <c r="J71" s="15"/>
    </row>
    <row r="72" spans="1:10" x14ac:dyDescent="0.3">
      <c r="A72" s="9">
        <f t="shared" si="5"/>
        <v>47027</v>
      </c>
      <c r="B72" s="16">
        <v>51</v>
      </c>
      <c r="C72" s="18">
        <f t="shared" si="3"/>
        <v>48470.821767342946</v>
      </c>
      <c r="D72" s="17">
        <f t="shared" si="4"/>
        <v>9.5000000000000001E-2</v>
      </c>
      <c r="E72" s="18">
        <f t="shared" si="0"/>
        <v>34288.430709305154</v>
      </c>
      <c r="F72" s="18"/>
      <c r="G72" s="18">
        <f t="shared" si="6"/>
        <v>14182.391058037792</v>
      </c>
      <c r="H72" s="18">
        <f t="shared" si="7"/>
        <v>4316987.8038015598</v>
      </c>
      <c r="I72" s="16"/>
      <c r="J72" s="15"/>
    </row>
    <row r="73" spans="1:10" x14ac:dyDescent="0.3">
      <c r="A73" s="9">
        <f t="shared" si="5"/>
        <v>47058</v>
      </c>
      <c r="B73" s="16">
        <v>52</v>
      </c>
      <c r="C73" s="18">
        <f t="shared" si="3"/>
        <v>48470.821767342946</v>
      </c>
      <c r="D73" s="17">
        <f t="shared" si="4"/>
        <v>9.5000000000000001E-2</v>
      </c>
      <c r="E73" s="18">
        <f t="shared" si="0"/>
        <v>34176.15344676235</v>
      </c>
      <c r="F73" s="18"/>
      <c r="G73" s="18">
        <f t="shared" si="6"/>
        <v>14294.668320580597</v>
      </c>
      <c r="H73" s="18">
        <f t="shared" si="7"/>
        <v>4302693.1354809795</v>
      </c>
      <c r="I73" s="16"/>
      <c r="J73" s="15"/>
    </row>
    <row r="74" spans="1:10" x14ac:dyDescent="0.3">
      <c r="A74" s="9">
        <f t="shared" si="5"/>
        <v>47088</v>
      </c>
      <c r="B74" s="16">
        <v>53</v>
      </c>
      <c r="C74" s="18">
        <f t="shared" si="3"/>
        <v>48470.821767342946</v>
      </c>
      <c r="D74" s="17">
        <f t="shared" si="4"/>
        <v>9.5000000000000001E-2</v>
      </c>
      <c r="E74" s="18">
        <f t="shared" si="0"/>
        <v>34062.987322557754</v>
      </c>
      <c r="F74" s="18"/>
      <c r="G74" s="18">
        <f t="shared" si="6"/>
        <v>14407.834444785192</v>
      </c>
      <c r="H74" s="18">
        <f t="shared" si="7"/>
        <v>4288285.301036194</v>
      </c>
      <c r="I74" s="16"/>
      <c r="J74" s="15"/>
    </row>
    <row r="75" spans="1:10" x14ac:dyDescent="0.3">
      <c r="A75" s="9">
        <f t="shared" si="5"/>
        <v>47119</v>
      </c>
      <c r="B75" s="16">
        <v>54</v>
      </c>
      <c r="C75" s="18">
        <f t="shared" si="3"/>
        <v>48470.821767342946</v>
      </c>
      <c r="D75" s="17">
        <f t="shared" si="4"/>
        <v>9.5000000000000001E-2</v>
      </c>
      <c r="E75" s="18">
        <f t="shared" si="0"/>
        <v>33948.925299869872</v>
      </c>
      <c r="F75" s="18"/>
      <c r="G75" s="18">
        <f t="shared" si="6"/>
        <v>14521.896467473074</v>
      </c>
      <c r="H75" s="18">
        <f t="shared" si="7"/>
        <v>4273763.4045687206</v>
      </c>
      <c r="I75" s="16"/>
      <c r="J75" s="15"/>
    </row>
    <row r="76" spans="1:10" x14ac:dyDescent="0.3">
      <c r="A76" s="9">
        <f t="shared" si="5"/>
        <v>47150</v>
      </c>
      <c r="B76" s="16">
        <v>55</v>
      </c>
      <c r="C76" s="18">
        <f t="shared" si="3"/>
        <v>48470.821767342946</v>
      </c>
      <c r="D76" s="17">
        <f t="shared" si="4"/>
        <v>9.5000000000000001E-2</v>
      </c>
      <c r="E76" s="18">
        <f t="shared" si="0"/>
        <v>33833.960286169044</v>
      </c>
      <c r="F76" s="18"/>
      <c r="G76" s="18">
        <f t="shared" si="6"/>
        <v>14636.861481173903</v>
      </c>
      <c r="H76" s="18">
        <f t="shared" si="7"/>
        <v>4259126.5430875467</v>
      </c>
      <c r="I76" s="16"/>
      <c r="J76" s="15"/>
    </row>
    <row r="77" spans="1:10" x14ac:dyDescent="0.3">
      <c r="A77" s="9">
        <f t="shared" si="5"/>
        <v>47178</v>
      </c>
      <c r="B77" s="16">
        <v>56</v>
      </c>
      <c r="C77" s="18">
        <f t="shared" si="3"/>
        <v>48470.821767342946</v>
      </c>
      <c r="D77" s="17">
        <f t="shared" si="4"/>
        <v>9.5000000000000001E-2</v>
      </c>
      <c r="E77" s="18">
        <f t="shared" si="0"/>
        <v>33718.085132776418</v>
      </c>
      <c r="F77" s="18"/>
      <c r="G77" s="18">
        <f t="shared" si="6"/>
        <v>14752.736634566529</v>
      </c>
      <c r="H77" s="18">
        <f t="shared" si="7"/>
        <v>4244373.8064529803</v>
      </c>
      <c r="I77" s="16"/>
      <c r="J77" s="15"/>
    </row>
    <row r="78" spans="1:10" x14ac:dyDescent="0.3">
      <c r="A78" s="9">
        <f t="shared" si="5"/>
        <v>47209</v>
      </c>
      <c r="B78" s="16">
        <v>57</v>
      </c>
      <c r="C78" s="18">
        <f t="shared" si="3"/>
        <v>48470.821767342946</v>
      </c>
      <c r="D78" s="17">
        <f t="shared" si="4"/>
        <v>9.5000000000000001E-2</v>
      </c>
      <c r="E78" s="18">
        <f t="shared" si="0"/>
        <v>33601.292634419427</v>
      </c>
      <c r="F78" s="18"/>
      <c r="G78" s="18">
        <f t="shared" si="6"/>
        <v>14869.529132923519</v>
      </c>
      <c r="H78" s="18">
        <f t="shared" si="7"/>
        <v>4229504.2773200572</v>
      </c>
      <c r="I78" s="16"/>
      <c r="J78" s="15"/>
    </row>
    <row r="79" spans="1:10" x14ac:dyDescent="0.3">
      <c r="A79" s="9">
        <f t="shared" si="5"/>
        <v>47239</v>
      </c>
      <c r="B79" s="16">
        <v>58</v>
      </c>
      <c r="C79" s="18">
        <f t="shared" si="3"/>
        <v>48470.821767342946</v>
      </c>
      <c r="D79" s="17">
        <f t="shared" si="4"/>
        <v>9.5000000000000001E-2</v>
      </c>
      <c r="E79" s="18">
        <f t="shared" si="0"/>
        <v>33483.575528783789</v>
      </c>
      <c r="F79" s="18"/>
      <c r="G79" s="18">
        <f t="shared" si="6"/>
        <v>14987.246238559157</v>
      </c>
      <c r="H79" s="18">
        <f t="shared" si="7"/>
        <v>4214517.0310814977</v>
      </c>
      <c r="I79" s="16"/>
      <c r="J79" s="15"/>
    </row>
    <row r="80" spans="1:10" x14ac:dyDescent="0.3">
      <c r="A80" s="9">
        <f t="shared" si="5"/>
        <v>47270</v>
      </c>
      <c r="B80" s="16">
        <v>59</v>
      </c>
      <c r="C80" s="18">
        <f t="shared" si="3"/>
        <v>48470.821767342946</v>
      </c>
      <c r="D80" s="17">
        <f t="shared" si="4"/>
        <v>9.5000000000000001E-2</v>
      </c>
      <c r="E80" s="18">
        <f t="shared" si="0"/>
        <v>33364.92649606186</v>
      </c>
      <c r="F80" s="18"/>
      <c r="G80" s="18">
        <f t="shared" si="6"/>
        <v>15105.895271281086</v>
      </c>
      <c r="H80" s="18">
        <f t="shared" si="7"/>
        <v>4199411.1358102169</v>
      </c>
      <c r="I80" s="16"/>
      <c r="J80" s="15"/>
    </row>
    <row r="81" spans="1:10" x14ac:dyDescent="0.3">
      <c r="A81" s="9">
        <f t="shared" si="5"/>
        <v>47300</v>
      </c>
      <c r="B81" s="16">
        <v>60</v>
      </c>
      <c r="C81" s="18">
        <f t="shared" si="3"/>
        <v>48470.821767342946</v>
      </c>
      <c r="D81" s="17">
        <f t="shared" si="4"/>
        <v>9.5000000000000001E-2</v>
      </c>
      <c r="E81" s="18">
        <f t="shared" si="0"/>
        <v>33245.33815849755</v>
      </c>
      <c r="F81" s="18"/>
      <c r="G81" s="18">
        <f t="shared" si="6"/>
        <v>15225.483608845396</v>
      </c>
      <c r="H81" s="18">
        <f t="shared" si="7"/>
        <v>4184185.6522013713</v>
      </c>
      <c r="I81" s="16"/>
      <c r="J81" s="15"/>
    </row>
    <row r="82" spans="1:10" x14ac:dyDescent="0.3">
      <c r="A82" s="9">
        <f t="shared" si="5"/>
        <v>47331</v>
      </c>
      <c r="B82" s="16">
        <v>61</v>
      </c>
      <c r="C82" s="18">
        <f t="shared" si="3"/>
        <v>48470.821767342946</v>
      </c>
      <c r="D82" s="17">
        <f t="shared" si="4"/>
        <v>9.5000000000000001E-2</v>
      </c>
      <c r="E82" s="18">
        <f t="shared" si="0"/>
        <v>33124.803079927522</v>
      </c>
      <c r="F82" s="18"/>
      <c r="G82" s="18">
        <f t="shared" si="6"/>
        <v>15346.018687415424</v>
      </c>
      <c r="H82" s="18">
        <f t="shared" si="7"/>
        <v>4168839.6335139559</v>
      </c>
      <c r="I82" s="16"/>
      <c r="J82" s="15"/>
    </row>
    <row r="83" spans="1:10" x14ac:dyDescent="0.3">
      <c r="A83" s="9">
        <f t="shared" si="5"/>
        <v>47362</v>
      </c>
      <c r="B83" s="16">
        <v>62</v>
      </c>
      <c r="C83" s="18">
        <f t="shared" si="3"/>
        <v>48470.821767342946</v>
      </c>
      <c r="D83" s="17">
        <f t="shared" si="4"/>
        <v>9.5000000000000001E-2</v>
      </c>
      <c r="E83" s="18">
        <f t="shared" si="0"/>
        <v>33003.313765318817</v>
      </c>
      <c r="F83" s="18"/>
      <c r="G83" s="18">
        <f t="shared" si="6"/>
        <v>15467.508002024129</v>
      </c>
      <c r="H83" s="18">
        <f t="shared" si="7"/>
        <v>4153372.1255119317</v>
      </c>
      <c r="I83" s="16"/>
      <c r="J83" s="15"/>
    </row>
    <row r="84" spans="1:10" x14ac:dyDescent="0.3">
      <c r="A84" s="9">
        <f t="shared" si="5"/>
        <v>47392</v>
      </c>
      <c r="B84" s="16">
        <v>63</v>
      </c>
      <c r="C84" s="18">
        <f t="shared" si="3"/>
        <v>48470.821767342946</v>
      </c>
      <c r="D84" s="17">
        <f t="shared" si="4"/>
        <v>9.5000000000000001E-2</v>
      </c>
      <c r="E84" s="18">
        <f t="shared" si="0"/>
        <v>32880.862660302795</v>
      </c>
      <c r="F84" s="18"/>
      <c r="G84" s="18">
        <f t="shared" si="6"/>
        <v>15589.959107040151</v>
      </c>
      <c r="H84" s="18">
        <f t="shared" si="7"/>
        <v>4137782.1664048918</v>
      </c>
      <c r="I84" s="16"/>
      <c r="J84" s="15"/>
    </row>
    <row r="85" spans="1:10" x14ac:dyDescent="0.3">
      <c r="A85" s="9">
        <f t="shared" si="5"/>
        <v>47423</v>
      </c>
      <c r="B85" s="16">
        <v>64</v>
      </c>
      <c r="C85" s="18">
        <f t="shared" si="3"/>
        <v>48470.821767342946</v>
      </c>
      <c r="D85" s="17">
        <f t="shared" si="4"/>
        <v>9.5000000000000001E-2</v>
      </c>
      <c r="E85" s="18">
        <f t="shared" si="0"/>
        <v>32757.442150705396</v>
      </c>
      <c r="F85" s="18"/>
      <c r="G85" s="18">
        <f t="shared" si="6"/>
        <v>15713.37961663755</v>
      </c>
      <c r="H85" s="18">
        <f t="shared" si="7"/>
        <v>4122068.786788254</v>
      </c>
      <c r="I85" s="16"/>
      <c r="J85" s="15"/>
    </row>
    <row r="86" spans="1:10" x14ac:dyDescent="0.3">
      <c r="A86" s="9">
        <f t="shared" si="5"/>
        <v>47453</v>
      </c>
      <c r="B86" s="16">
        <v>65</v>
      </c>
      <c r="C86" s="18">
        <f t="shared" si="3"/>
        <v>48470.821767342946</v>
      </c>
      <c r="D86" s="17">
        <f t="shared" si="4"/>
        <v>9.5000000000000001E-2</v>
      </c>
      <c r="E86" s="18">
        <f t="shared" ref="E86:E149" si="8">H85*(D86/12)</f>
        <v>32633.044562073679</v>
      </c>
      <c r="F86" s="18"/>
      <c r="G86" s="18">
        <f t="shared" ref="G86:G117" si="9">C86-E86</f>
        <v>15837.777205269267</v>
      </c>
      <c r="H86" s="18">
        <f t="shared" ref="H86:H117" si="10">IF(H85-G86-I86&lt;0,0,H85-G86-I86)</f>
        <v>4106231.0095829847</v>
      </c>
      <c r="I86" s="16"/>
      <c r="J86" s="15"/>
    </row>
    <row r="87" spans="1:10" x14ac:dyDescent="0.3">
      <c r="A87" s="9">
        <f t="shared" si="5"/>
        <v>47484</v>
      </c>
      <c r="B87" s="16">
        <v>66</v>
      </c>
      <c r="C87" s="18">
        <f t="shared" ref="C87:C150" si="11">IF(H86=0,0,$C$18)</f>
        <v>48470.821767342946</v>
      </c>
      <c r="D87" s="17">
        <f t="shared" ref="D87:D150" si="12">VLOOKUP(B87,$D$3:$E$17,2)</f>
        <v>9.5000000000000001E-2</v>
      </c>
      <c r="E87" s="18">
        <f t="shared" si="8"/>
        <v>32507.662159198633</v>
      </c>
      <c r="F87" s="18"/>
      <c r="G87" s="18">
        <f t="shared" si="9"/>
        <v>15963.159608144313</v>
      </c>
      <c r="H87" s="18">
        <f t="shared" si="10"/>
        <v>4090267.8499748404</v>
      </c>
      <c r="I87" s="16"/>
      <c r="J87" s="15"/>
    </row>
    <row r="88" spans="1:10" x14ac:dyDescent="0.3">
      <c r="A88" s="9">
        <f t="shared" ref="A88:A151" si="13">EDATE(A87,1)</f>
        <v>47515</v>
      </c>
      <c r="B88" s="16">
        <v>67</v>
      </c>
      <c r="C88" s="18">
        <f t="shared" si="11"/>
        <v>48470.821767342946</v>
      </c>
      <c r="D88" s="17">
        <f t="shared" si="12"/>
        <v>9.5000000000000001E-2</v>
      </c>
      <c r="E88" s="18">
        <f t="shared" si="8"/>
        <v>32381.287145634156</v>
      </c>
      <c r="F88" s="18"/>
      <c r="G88" s="18">
        <f t="shared" si="9"/>
        <v>16089.53462170879</v>
      </c>
      <c r="H88" s="18">
        <f t="shared" si="10"/>
        <v>4074178.3153531319</v>
      </c>
      <c r="I88" s="16"/>
      <c r="J88" s="15"/>
    </row>
    <row r="89" spans="1:10" x14ac:dyDescent="0.3">
      <c r="A89" s="9">
        <f t="shared" si="13"/>
        <v>47543</v>
      </c>
      <c r="B89" s="16">
        <v>68</v>
      </c>
      <c r="C89" s="18">
        <f t="shared" si="11"/>
        <v>48470.821767342946</v>
      </c>
      <c r="D89" s="17">
        <f t="shared" si="12"/>
        <v>9.5000000000000001E-2</v>
      </c>
      <c r="E89" s="18">
        <f t="shared" si="8"/>
        <v>32253.911663212297</v>
      </c>
      <c r="F89" s="18"/>
      <c r="G89" s="18">
        <f t="shared" si="9"/>
        <v>16216.910104130649</v>
      </c>
      <c r="H89" s="18">
        <f t="shared" si="10"/>
        <v>4057961.405249001</v>
      </c>
      <c r="I89" s="16"/>
      <c r="J89" s="15"/>
    </row>
    <row r="90" spans="1:10" x14ac:dyDescent="0.3">
      <c r="A90" s="9">
        <f t="shared" si="13"/>
        <v>47574</v>
      </c>
      <c r="B90" s="16">
        <v>69</v>
      </c>
      <c r="C90" s="18">
        <f t="shared" si="11"/>
        <v>48470.821767342946</v>
      </c>
      <c r="D90" s="17">
        <f t="shared" si="12"/>
        <v>9.5000000000000001E-2</v>
      </c>
      <c r="E90" s="18">
        <f t="shared" si="8"/>
        <v>32125.527791554592</v>
      </c>
      <c r="F90" s="18"/>
      <c r="G90" s="18">
        <f t="shared" si="9"/>
        <v>16345.293975788354</v>
      </c>
      <c r="H90" s="18">
        <f t="shared" si="10"/>
        <v>4041616.1112732128</v>
      </c>
      <c r="I90" s="16"/>
      <c r="J90" s="15"/>
    </row>
    <row r="91" spans="1:10" x14ac:dyDescent="0.3">
      <c r="A91" s="9">
        <f t="shared" si="13"/>
        <v>47604</v>
      </c>
      <c r="B91" s="16">
        <v>70</v>
      </c>
      <c r="C91" s="18">
        <f t="shared" si="11"/>
        <v>48470.821767342946</v>
      </c>
      <c r="D91" s="17">
        <f t="shared" si="12"/>
        <v>9.5000000000000001E-2</v>
      </c>
      <c r="E91" s="18">
        <f t="shared" si="8"/>
        <v>31996.127547579603</v>
      </c>
      <c r="F91" s="18"/>
      <c r="G91" s="18">
        <f t="shared" si="9"/>
        <v>16474.694219763343</v>
      </c>
      <c r="H91" s="18">
        <f t="shared" si="10"/>
        <v>4025141.4170534494</v>
      </c>
      <c r="I91" s="16"/>
      <c r="J91" s="15"/>
    </row>
    <row r="92" spans="1:10" x14ac:dyDescent="0.3">
      <c r="A92" s="9">
        <f t="shared" si="13"/>
        <v>47635</v>
      </c>
      <c r="B92" s="16">
        <v>71</v>
      </c>
      <c r="C92" s="18">
        <f t="shared" si="11"/>
        <v>48470.821767342946</v>
      </c>
      <c r="D92" s="17">
        <f t="shared" si="12"/>
        <v>9.5000000000000001E-2</v>
      </c>
      <c r="E92" s="18">
        <f t="shared" si="8"/>
        <v>31865.702885006478</v>
      </c>
      <c r="F92" s="18"/>
      <c r="G92" s="18">
        <f t="shared" si="9"/>
        <v>16605.118882336468</v>
      </c>
      <c r="H92" s="18">
        <f t="shared" si="10"/>
        <v>4008536.2981711128</v>
      </c>
      <c r="I92" s="16"/>
      <c r="J92" s="15"/>
    </row>
    <row r="93" spans="1:10" x14ac:dyDescent="0.3">
      <c r="A93" s="9">
        <f t="shared" si="13"/>
        <v>47665</v>
      </c>
      <c r="B93" s="16">
        <v>72</v>
      </c>
      <c r="C93" s="18">
        <f t="shared" si="11"/>
        <v>48470.821767342946</v>
      </c>
      <c r="D93" s="17">
        <f t="shared" si="12"/>
        <v>9.5000000000000001E-2</v>
      </c>
      <c r="E93" s="18">
        <f t="shared" si="8"/>
        <v>31734.245693854646</v>
      </c>
      <c r="F93" s="18"/>
      <c r="G93" s="18">
        <f t="shared" si="9"/>
        <v>16736.576073488301</v>
      </c>
      <c r="H93" s="18">
        <f t="shared" si="10"/>
        <v>3991799.7220976246</v>
      </c>
      <c r="I93" s="16"/>
      <c r="J93" s="15"/>
    </row>
    <row r="94" spans="1:10" x14ac:dyDescent="0.3">
      <c r="A94" s="9">
        <f t="shared" si="13"/>
        <v>47696</v>
      </c>
      <c r="B94" s="16">
        <v>73</v>
      </c>
      <c r="C94" s="18">
        <f t="shared" si="11"/>
        <v>48470.821767342946</v>
      </c>
      <c r="D94" s="17">
        <f t="shared" si="12"/>
        <v>9.5000000000000001E-2</v>
      </c>
      <c r="E94" s="18">
        <f t="shared" si="8"/>
        <v>31601.747799939531</v>
      </c>
      <c r="F94" s="18"/>
      <c r="G94" s="18">
        <f t="shared" si="9"/>
        <v>16869.073967403416</v>
      </c>
      <c r="H94" s="18">
        <f t="shared" si="10"/>
        <v>3974930.6481302213</v>
      </c>
      <c r="I94" s="16"/>
      <c r="J94" s="15"/>
    </row>
    <row r="95" spans="1:10" x14ac:dyDescent="0.3">
      <c r="A95" s="9">
        <f t="shared" si="13"/>
        <v>47727</v>
      </c>
      <c r="B95" s="16">
        <v>74</v>
      </c>
      <c r="C95" s="18">
        <f t="shared" si="11"/>
        <v>48470.821767342946</v>
      </c>
      <c r="D95" s="17">
        <f t="shared" si="12"/>
        <v>9.5000000000000001E-2</v>
      </c>
      <c r="E95" s="18">
        <f t="shared" si="8"/>
        <v>31468.200964364256</v>
      </c>
      <c r="F95" s="18"/>
      <c r="G95" s="18">
        <f t="shared" si="9"/>
        <v>17002.62080297869</v>
      </c>
      <c r="H95" s="18">
        <f t="shared" si="10"/>
        <v>3957928.0273272428</v>
      </c>
      <c r="I95" s="16"/>
      <c r="J95" s="15"/>
    </row>
    <row r="96" spans="1:10" x14ac:dyDescent="0.3">
      <c r="A96" s="9">
        <f t="shared" si="13"/>
        <v>47757</v>
      </c>
      <c r="B96" s="16">
        <v>75</v>
      </c>
      <c r="C96" s="18">
        <f t="shared" si="11"/>
        <v>48470.821767342946</v>
      </c>
      <c r="D96" s="17">
        <f t="shared" si="12"/>
        <v>9.5000000000000001E-2</v>
      </c>
      <c r="E96" s="18">
        <f t="shared" si="8"/>
        <v>31333.59688300734</v>
      </c>
      <c r="F96" s="18"/>
      <c r="G96" s="18">
        <f t="shared" si="9"/>
        <v>17137.224884335606</v>
      </c>
      <c r="H96" s="18">
        <f t="shared" si="10"/>
        <v>3940790.8024429074</v>
      </c>
      <c r="I96" s="16"/>
      <c r="J96" s="15"/>
    </row>
    <row r="97" spans="1:10" x14ac:dyDescent="0.3">
      <c r="A97" s="9">
        <f t="shared" si="13"/>
        <v>47788</v>
      </c>
      <c r="B97" s="16">
        <v>76</v>
      </c>
      <c r="C97" s="18">
        <f t="shared" si="11"/>
        <v>48470.821767342946</v>
      </c>
      <c r="D97" s="17">
        <f t="shared" si="12"/>
        <v>9.5000000000000001E-2</v>
      </c>
      <c r="E97" s="18">
        <f t="shared" si="8"/>
        <v>31197.927186006353</v>
      </c>
      <c r="F97" s="18"/>
      <c r="G97" s="18">
        <f t="shared" si="9"/>
        <v>17272.894581336594</v>
      </c>
      <c r="H97" s="18">
        <f t="shared" si="10"/>
        <v>3923517.9078615708</v>
      </c>
      <c r="I97" s="16"/>
      <c r="J97" s="15"/>
    </row>
    <row r="98" spans="1:10" x14ac:dyDescent="0.3">
      <c r="A98" s="9">
        <f t="shared" si="13"/>
        <v>47818</v>
      </c>
      <c r="B98" s="16">
        <v>77</v>
      </c>
      <c r="C98" s="18">
        <f t="shared" si="11"/>
        <v>48470.821767342946</v>
      </c>
      <c r="D98" s="17">
        <f t="shared" si="12"/>
        <v>9.5000000000000001E-2</v>
      </c>
      <c r="E98" s="18">
        <f t="shared" si="8"/>
        <v>31061.18343723744</v>
      </c>
      <c r="F98" s="18"/>
      <c r="G98" s="18">
        <f t="shared" si="9"/>
        <v>17409.638330105507</v>
      </c>
      <c r="H98" s="18">
        <f t="shared" si="10"/>
        <v>3906108.2695314651</v>
      </c>
      <c r="I98" s="16"/>
      <c r="J98" s="15"/>
    </row>
    <row r="99" spans="1:10" x14ac:dyDescent="0.3">
      <c r="A99" s="9">
        <f t="shared" si="13"/>
        <v>47849</v>
      </c>
      <c r="B99" s="16">
        <v>78</v>
      </c>
      <c r="C99" s="18">
        <f t="shared" si="11"/>
        <v>48470.821767342946</v>
      </c>
      <c r="D99" s="17">
        <f t="shared" si="12"/>
        <v>9.5000000000000001E-2</v>
      </c>
      <c r="E99" s="18">
        <f t="shared" si="8"/>
        <v>30923.357133790767</v>
      </c>
      <c r="F99" s="18"/>
      <c r="G99" s="18">
        <f t="shared" si="9"/>
        <v>17547.464633552179</v>
      </c>
      <c r="H99" s="18">
        <f t="shared" si="10"/>
        <v>3888560.8048979128</v>
      </c>
      <c r="I99" s="16"/>
      <c r="J99" s="15"/>
    </row>
    <row r="100" spans="1:10" x14ac:dyDescent="0.3">
      <c r="A100" s="9">
        <f t="shared" si="13"/>
        <v>47880</v>
      </c>
      <c r="B100" s="16">
        <v>79</v>
      </c>
      <c r="C100" s="18">
        <f t="shared" si="11"/>
        <v>48470.821767342946</v>
      </c>
      <c r="D100" s="17">
        <f t="shared" si="12"/>
        <v>9.5000000000000001E-2</v>
      </c>
      <c r="E100" s="18">
        <f t="shared" si="8"/>
        <v>30784.439705441811</v>
      </c>
      <c r="F100" s="18"/>
      <c r="G100" s="18">
        <f t="shared" si="9"/>
        <v>17686.382061901135</v>
      </c>
      <c r="H100" s="18">
        <f t="shared" si="10"/>
        <v>3870874.4228360117</v>
      </c>
      <c r="I100" s="16"/>
      <c r="J100" s="15"/>
    </row>
    <row r="101" spans="1:10" x14ac:dyDescent="0.3">
      <c r="A101" s="9">
        <f t="shared" si="13"/>
        <v>47908</v>
      </c>
      <c r="B101" s="16">
        <v>80</v>
      </c>
      <c r="C101" s="18">
        <f t="shared" si="11"/>
        <v>48470.821767342946</v>
      </c>
      <c r="D101" s="17">
        <f t="shared" si="12"/>
        <v>9.5000000000000001E-2</v>
      </c>
      <c r="E101" s="18">
        <f t="shared" si="8"/>
        <v>30644.422514118429</v>
      </c>
      <c r="F101" s="18"/>
      <c r="G101" s="18">
        <f t="shared" si="9"/>
        <v>17826.399253224517</v>
      </c>
      <c r="H101" s="18">
        <f t="shared" si="10"/>
        <v>3853048.0235827873</v>
      </c>
      <c r="I101" s="16"/>
      <c r="J101" s="15"/>
    </row>
    <row r="102" spans="1:10" x14ac:dyDescent="0.3">
      <c r="A102" s="9">
        <f t="shared" si="13"/>
        <v>47939</v>
      </c>
      <c r="B102" s="16">
        <v>81</v>
      </c>
      <c r="C102" s="18">
        <f t="shared" si="11"/>
        <v>48470.821767342946</v>
      </c>
      <c r="D102" s="17">
        <f t="shared" si="12"/>
        <v>9.5000000000000001E-2</v>
      </c>
      <c r="E102" s="18">
        <f t="shared" si="8"/>
        <v>30503.296853363736</v>
      </c>
      <c r="F102" s="18"/>
      <c r="G102" s="18">
        <f t="shared" si="9"/>
        <v>17967.52491397921</v>
      </c>
      <c r="H102" s="18">
        <f t="shared" si="10"/>
        <v>3835080.498668808</v>
      </c>
      <c r="I102" s="16"/>
      <c r="J102" s="15"/>
    </row>
    <row r="103" spans="1:10" x14ac:dyDescent="0.3">
      <c r="A103" s="9">
        <f t="shared" si="13"/>
        <v>47969</v>
      </c>
      <c r="B103" s="16">
        <v>82</v>
      </c>
      <c r="C103" s="18">
        <f t="shared" si="11"/>
        <v>48470.821767342946</v>
      </c>
      <c r="D103" s="17">
        <f t="shared" si="12"/>
        <v>9.5000000000000001E-2</v>
      </c>
      <c r="E103" s="18">
        <f t="shared" si="8"/>
        <v>30361.053947794731</v>
      </c>
      <c r="F103" s="18"/>
      <c r="G103" s="18">
        <f t="shared" si="9"/>
        <v>18109.767819548215</v>
      </c>
      <c r="H103" s="18">
        <f t="shared" si="10"/>
        <v>3816970.73084926</v>
      </c>
      <c r="I103" s="16"/>
      <c r="J103" s="15"/>
    </row>
    <row r="104" spans="1:10" x14ac:dyDescent="0.3">
      <c r="A104" s="9">
        <f t="shared" si="13"/>
        <v>48000</v>
      </c>
      <c r="B104" s="16">
        <v>83</v>
      </c>
      <c r="C104" s="18">
        <f t="shared" si="11"/>
        <v>48470.821767342946</v>
      </c>
      <c r="D104" s="17">
        <f t="shared" si="12"/>
        <v>9.5000000000000001E-2</v>
      </c>
      <c r="E104" s="18">
        <f t="shared" si="8"/>
        <v>30217.684952556643</v>
      </c>
      <c r="F104" s="18"/>
      <c r="G104" s="18">
        <f t="shared" si="9"/>
        <v>18253.136814786303</v>
      </c>
      <c r="H104" s="18">
        <f t="shared" si="10"/>
        <v>3798717.5940344739</v>
      </c>
      <c r="I104" s="16"/>
      <c r="J104" s="15"/>
    </row>
    <row r="105" spans="1:10" x14ac:dyDescent="0.3">
      <c r="A105" s="9">
        <f t="shared" si="13"/>
        <v>48030</v>
      </c>
      <c r="B105" s="16">
        <v>84</v>
      </c>
      <c r="C105" s="18">
        <f t="shared" si="11"/>
        <v>48470.821767342946</v>
      </c>
      <c r="D105" s="17">
        <f t="shared" si="12"/>
        <v>9.5000000000000001E-2</v>
      </c>
      <c r="E105" s="18">
        <f t="shared" si="8"/>
        <v>30073.18095277292</v>
      </c>
      <c r="F105" s="18"/>
      <c r="G105" s="18">
        <f t="shared" si="9"/>
        <v>18397.640814570026</v>
      </c>
      <c r="H105" s="18">
        <f t="shared" si="10"/>
        <v>3780319.9532199036</v>
      </c>
      <c r="I105" s="16"/>
      <c r="J105" s="15"/>
    </row>
    <row r="106" spans="1:10" x14ac:dyDescent="0.3">
      <c r="A106" s="9">
        <f t="shared" si="13"/>
        <v>48061</v>
      </c>
      <c r="B106" s="16">
        <v>85</v>
      </c>
      <c r="C106" s="18">
        <f t="shared" si="11"/>
        <v>48470.821767342946</v>
      </c>
      <c r="D106" s="17">
        <f t="shared" si="12"/>
        <v>9.5000000000000001E-2</v>
      </c>
      <c r="E106" s="18">
        <f t="shared" si="8"/>
        <v>29927.532962990907</v>
      </c>
      <c r="F106" s="18"/>
      <c r="G106" s="18">
        <f t="shared" si="9"/>
        <v>18543.28880435204</v>
      </c>
      <c r="H106" s="18">
        <f t="shared" si="10"/>
        <v>3761776.6644155518</v>
      </c>
      <c r="I106" s="16"/>
      <c r="J106" s="15"/>
    </row>
    <row r="107" spans="1:10" x14ac:dyDescent="0.3">
      <c r="A107" s="9">
        <f t="shared" si="13"/>
        <v>48092</v>
      </c>
      <c r="B107" s="16">
        <v>86</v>
      </c>
      <c r="C107" s="18">
        <f t="shared" si="11"/>
        <v>48470.821767342946</v>
      </c>
      <c r="D107" s="17">
        <f t="shared" si="12"/>
        <v>9.5000000000000001E-2</v>
      </c>
      <c r="E107" s="18">
        <f t="shared" si="8"/>
        <v>29780.731926623121</v>
      </c>
      <c r="F107" s="18"/>
      <c r="G107" s="18">
        <f t="shared" si="9"/>
        <v>18690.089840719826</v>
      </c>
      <c r="H107" s="18">
        <f t="shared" si="10"/>
        <v>3743086.5745748319</v>
      </c>
      <c r="I107" s="16"/>
      <c r="J107" s="15"/>
    </row>
    <row r="108" spans="1:10" x14ac:dyDescent="0.3">
      <c r="A108" s="9">
        <f t="shared" si="13"/>
        <v>48122</v>
      </c>
      <c r="B108" s="16">
        <v>87</v>
      </c>
      <c r="C108" s="18">
        <f t="shared" si="11"/>
        <v>48470.821767342946</v>
      </c>
      <c r="D108" s="17">
        <f t="shared" si="12"/>
        <v>9.5000000000000001E-2</v>
      </c>
      <c r="E108" s="18">
        <f t="shared" si="8"/>
        <v>29632.768715384089</v>
      </c>
      <c r="F108" s="18"/>
      <c r="G108" s="18">
        <f t="shared" si="9"/>
        <v>18838.053051958857</v>
      </c>
      <c r="H108" s="18">
        <f t="shared" si="10"/>
        <v>3724248.5215228731</v>
      </c>
      <c r="I108" s="16"/>
      <c r="J108" s="15"/>
    </row>
    <row r="109" spans="1:10" x14ac:dyDescent="0.3">
      <c r="A109" s="9">
        <f t="shared" si="13"/>
        <v>48153</v>
      </c>
      <c r="B109" s="16">
        <v>88</v>
      </c>
      <c r="C109" s="18">
        <f t="shared" si="11"/>
        <v>48470.821767342946</v>
      </c>
      <c r="D109" s="17">
        <f t="shared" si="12"/>
        <v>9.5000000000000001E-2</v>
      </c>
      <c r="E109" s="18">
        <f t="shared" si="8"/>
        <v>29483.634128722748</v>
      </c>
      <c r="F109" s="18"/>
      <c r="G109" s="18">
        <f t="shared" si="9"/>
        <v>18987.187638620198</v>
      </c>
      <c r="H109" s="18">
        <f t="shared" si="10"/>
        <v>3705261.3338842527</v>
      </c>
      <c r="I109" s="16"/>
      <c r="J109" s="15"/>
    </row>
    <row r="110" spans="1:10" x14ac:dyDescent="0.3">
      <c r="A110" s="9">
        <f t="shared" si="13"/>
        <v>48183</v>
      </c>
      <c r="B110" s="16">
        <v>89</v>
      </c>
      <c r="C110" s="18">
        <f t="shared" si="11"/>
        <v>48470.821767342946</v>
      </c>
      <c r="D110" s="17">
        <f t="shared" si="12"/>
        <v>9.5000000000000001E-2</v>
      </c>
      <c r="E110" s="18">
        <f t="shared" si="8"/>
        <v>29333.318893250336</v>
      </c>
      <c r="F110" s="18"/>
      <c r="G110" s="18">
        <f t="shared" si="9"/>
        <v>19137.50287409261</v>
      </c>
      <c r="H110" s="18">
        <f t="shared" si="10"/>
        <v>3686123.83101016</v>
      </c>
      <c r="I110" s="16"/>
      <c r="J110" s="15"/>
    </row>
    <row r="111" spans="1:10" x14ac:dyDescent="0.3">
      <c r="A111" s="9">
        <f t="shared" si="13"/>
        <v>48214</v>
      </c>
      <c r="B111" s="16">
        <v>90</v>
      </c>
      <c r="C111" s="18">
        <f t="shared" si="11"/>
        <v>48470.821767342946</v>
      </c>
      <c r="D111" s="17">
        <f t="shared" si="12"/>
        <v>9.5000000000000001E-2</v>
      </c>
      <c r="E111" s="18">
        <f t="shared" si="8"/>
        <v>29181.813662163768</v>
      </c>
      <c r="F111" s="18"/>
      <c r="G111" s="18">
        <f t="shared" si="9"/>
        <v>19289.008105179179</v>
      </c>
      <c r="H111" s="18">
        <f t="shared" si="10"/>
        <v>3666834.8229049807</v>
      </c>
      <c r="I111" s="16"/>
      <c r="J111" s="15"/>
    </row>
    <row r="112" spans="1:10" x14ac:dyDescent="0.3">
      <c r="A112" s="9">
        <f t="shared" si="13"/>
        <v>48245</v>
      </c>
      <c r="B112" s="16">
        <v>91</v>
      </c>
      <c r="C112" s="18">
        <f t="shared" si="11"/>
        <v>48470.821767342946</v>
      </c>
      <c r="D112" s="17">
        <f t="shared" si="12"/>
        <v>9.5000000000000001E-2</v>
      </c>
      <c r="E112" s="18">
        <f t="shared" si="8"/>
        <v>29029.109014664435</v>
      </c>
      <c r="F112" s="18"/>
      <c r="G112" s="18">
        <f t="shared" si="9"/>
        <v>19441.712752678512</v>
      </c>
      <c r="H112" s="18">
        <f t="shared" si="10"/>
        <v>3647393.1101523023</v>
      </c>
      <c r="I112" s="16"/>
      <c r="J112" s="15"/>
    </row>
    <row r="113" spans="1:10" x14ac:dyDescent="0.3">
      <c r="A113" s="9">
        <f t="shared" si="13"/>
        <v>48274</v>
      </c>
      <c r="B113" s="16">
        <v>92</v>
      </c>
      <c r="C113" s="18">
        <f t="shared" si="11"/>
        <v>48470.821767342946</v>
      </c>
      <c r="D113" s="17">
        <f t="shared" si="12"/>
        <v>9.5000000000000001E-2</v>
      </c>
      <c r="E113" s="18">
        <f t="shared" si="8"/>
        <v>28875.195455372395</v>
      </c>
      <c r="F113" s="18"/>
      <c r="G113" s="18">
        <f t="shared" si="9"/>
        <v>19595.626311970551</v>
      </c>
      <c r="H113" s="18">
        <f t="shared" si="10"/>
        <v>3627797.4838403319</v>
      </c>
      <c r="I113" s="16"/>
      <c r="J113" s="15"/>
    </row>
    <row r="114" spans="1:10" x14ac:dyDescent="0.3">
      <c r="A114" s="9">
        <f t="shared" si="13"/>
        <v>48305</v>
      </c>
      <c r="B114" s="16">
        <v>93</v>
      </c>
      <c r="C114" s="18">
        <f t="shared" si="11"/>
        <v>48470.821767342946</v>
      </c>
      <c r="D114" s="17">
        <f t="shared" si="12"/>
        <v>9.5000000000000001E-2</v>
      </c>
      <c r="E114" s="18">
        <f t="shared" si="8"/>
        <v>28720.063413735963</v>
      </c>
      <c r="F114" s="18"/>
      <c r="G114" s="18">
        <f t="shared" si="9"/>
        <v>19750.758353606983</v>
      </c>
      <c r="H114" s="18">
        <f t="shared" si="10"/>
        <v>3608046.7254867251</v>
      </c>
      <c r="I114" s="16"/>
      <c r="J114" s="15"/>
    </row>
    <row r="115" spans="1:10" x14ac:dyDescent="0.3">
      <c r="A115" s="9">
        <f t="shared" si="13"/>
        <v>48335</v>
      </c>
      <c r="B115" s="16">
        <v>94</v>
      </c>
      <c r="C115" s="18">
        <f t="shared" si="11"/>
        <v>48470.821767342946</v>
      </c>
      <c r="D115" s="17">
        <f t="shared" si="12"/>
        <v>9.5000000000000001E-2</v>
      </c>
      <c r="E115" s="18">
        <f t="shared" si="8"/>
        <v>28563.703243436576</v>
      </c>
      <c r="F115" s="18"/>
      <c r="G115" s="18">
        <f t="shared" si="9"/>
        <v>19907.118523906371</v>
      </c>
      <c r="H115" s="18">
        <f t="shared" si="10"/>
        <v>3588139.6069628187</v>
      </c>
      <c r="I115" s="16"/>
      <c r="J115" s="15"/>
    </row>
    <row r="116" spans="1:10" x14ac:dyDescent="0.3">
      <c r="A116" s="9">
        <f t="shared" si="13"/>
        <v>48366</v>
      </c>
      <c r="B116" s="16">
        <v>95</v>
      </c>
      <c r="C116" s="18">
        <f t="shared" si="11"/>
        <v>48470.821767342946</v>
      </c>
      <c r="D116" s="17">
        <f t="shared" si="12"/>
        <v>9.5000000000000001E-2</v>
      </c>
      <c r="E116" s="18">
        <f t="shared" si="8"/>
        <v>28406.105221788985</v>
      </c>
      <c r="F116" s="18"/>
      <c r="G116" s="18">
        <f t="shared" si="9"/>
        <v>20064.716545553962</v>
      </c>
      <c r="H116" s="18">
        <f t="shared" si="10"/>
        <v>3568074.8904172648</v>
      </c>
      <c r="I116" s="16"/>
      <c r="J116" s="15"/>
    </row>
    <row r="117" spans="1:10" x14ac:dyDescent="0.3">
      <c r="A117" s="9">
        <f t="shared" si="13"/>
        <v>48396</v>
      </c>
      <c r="B117" s="16">
        <v>96</v>
      </c>
      <c r="C117" s="18">
        <f t="shared" si="11"/>
        <v>48470.821767342946</v>
      </c>
      <c r="D117" s="17">
        <f t="shared" si="12"/>
        <v>9.5000000000000001E-2</v>
      </c>
      <c r="E117" s="18">
        <f t="shared" si="8"/>
        <v>28247.259549136681</v>
      </c>
      <c r="F117" s="18"/>
      <c r="G117" s="18">
        <f t="shared" si="9"/>
        <v>20223.562218206265</v>
      </c>
      <c r="H117" s="18">
        <f t="shared" si="10"/>
        <v>3547851.3281990583</v>
      </c>
      <c r="I117" s="16"/>
      <c r="J117" s="15"/>
    </row>
    <row r="118" spans="1:10" x14ac:dyDescent="0.3">
      <c r="A118" s="9">
        <f t="shared" si="13"/>
        <v>48427</v>
      </c>
      <c r="B118" s="16">
        <v>97</v>
      </c>
      <c r="C118" s="18">
        <f t="shared" si="11"/>
        <v>48470.821767342946</v>
      </c>
      <c r="D118" s="17">
        <f t="shared" si="12"/>
        <v>9.5000000000000001E-2</v>
      </c>
      <c r="E118" s="18">
        <f t="shared" si="8"/>
        <v>28087.156348242548</v>
      </c>
      <c r="F118" s="18"/>
      <c r="G118" s="18">
        <f t="shared" ref="G118:G149" si="14">C118-E118</f>
        <v>20383.665419100398</v>
      </c>
      <c r="H118" s="18">
        <f t="shared" ref="H118:H149" si="15">IF(H117-G118-I118&lt;0,0,H117-G118-I118)</f>
        <v>3527467.662779958</v>
      </c>
      <c r="I118" s="16"/>
      <c r="J118" s="15"/>
    </row>
    <row r="119" spans="1:10" x14ac:dyDescent="0.3">
      <c r="A119" s="9">
        <f t="shared" si="13"/>
        <v>48458</v>
      </c>
      <c r="B119" s="16">
        <v>98</v>
      </c>
      <c r="C119" s="18">
        <f t="shared" si="11"/>
        <v>48470.821767342946</v>
      </c>
      <c r="D119" s="17">
        <f t="shared" si="12"/>
        <v>9.5000000000000001E-2</v>
      </c>
      <c r="E119" s="18">
        <f t="shared" si="8"/>
        <v>27925.785663674669</v>
      </c>
      <c r="F119" s="18"/>
      <c r="G119" s="18">
        <f t="shared" si="14"/>
        <v>20545.036103668277</v>
      </c>
      <c r="H119" s="18">
        <f t="shared" si="15"/>
        <v>3506922.6266762898</v>
      </c>
      <c r="I119" s="16"/>
      <c r="J119" s="15"/>
    </row>
    <row r="120" spans="1:10" x14ac:dyDescent="0.3">
      <c r="A120" s="9">
        <f t="shared" si="13"/>
        <v>48488</v>
      </c>
      <c r="B120" s="16">
        <v>99</v>
      </c>
      <c r="C120" s="18">
        <f t="shared" si="11"/>
        <v>48470.821767342946</v>
      </c>
      <c r="D120" s="17">
        <f t="shared" si="12"/>
        <v>9.5000000000000001E-2</v>
      </c>
      <c r="E120" s="18">
        <f t="shared" si="8"/>
        <v>27763.137461187296</v>
      </c>
      <c r="F120" s="18"/>
      <c r="G120" s="18">
        <f t="shared" si="14"/>
        <v>20707.68430615565</v>
      </c>
      <c r="H120" s="18">
        <f t="shared" si="15"/>
        <v>3486214.9423701344</v>
      </c>
      <c r="I120" s="16"/>
      <c r="J120" s="15"/>
    </row>
    <row r="121" spans="1:10" x14ac:dyDescent="0.3">
      <c r="A121" s="9">
        <f t="shared" si="13"/>
        <v>48519</v>
      </c>
      <c r="B121" s="16">
        <v>100</v>
      </c>
      <c r="C121" s="18">
        <f t="shared" si="11"/>
        <v>48470.821767342946</v>
      </c>
      <c r="D121" s="17">
        <f t="shared" si="12"/>
        <v>9.5000000000000001E-2</v>
      </c>
      <c r="E121" s="18">
        <f t="shared" si="8"/>
        <v>27599.2016270969</v>
      </c>
      <c r="F121" s="18"/>
      <c r="G121" s="18">
        <f t="shared" si="14"/>
        <v>20871.620140246047</v>
      </c>
      <c r="H121" s="18">
        <f t="shared" si="15"/>
        <v>3465343.3222298883</v>
      </c>
      <c r="I121" s="16"/>
      <c r="J121" s="15"/>
    </row>
    <row r="122" spans="1:10" x14ac:dyDescent="0.3">
      <c r="A122" s="9">
        <f t="shared" si="13"/>
        <v>48549</v>
      </c>
      <c r="B122" s="16">
        <v>101</v>
      </c>
      <c r="C122" s="18">
        <f t="shared" si="11"/>
        <v>48470.821767342946</v>
      </c>
      <c r="D122" s="17">
        <f t="shared" si="12"/>
        <v>9.5000000000000001E-2</v>
      </c>
      <c r="E122" s="18">
        <f t="shared" si="8"/>
        <v>27433.967967653283</v>
      </c>
      <c r="F122" s="18"/>
      <c r="G122" s="18">
        <f t="shared" si="14"/>
        <v>21036.853799689663</v>
      </c>
      <c r="H122" s="18">
        <f t="shared" si="15"/>
        <v>3444306.4684301987</v>
      </c>
      <c r="I122" s="16"/>
      <c r="J122" s="15"/>
    </row>
    <row r="123" spans="1:10" x14ac:dyDescent="0.3">
      <c r="A123" s="9">
        <f t="shared" si="13"/>
        <v>48580</v>
      </c>
      <c r="B123" s="16">
        <v>102</v>
      </c>
      <c r="C123" s="18">
        <f t="shared" si="11"/>
        <v>48470.821767342946</v>
      </c>
      <c r="D123" s="17">
        <f t="shared" si="12"/>
        <v>9.5000000000000001E-2</v>
      </c>
      <c r="E123" s="18">
        <f t="shared" si="8"/>
        <v>27267.426208405741</v>
      </c>
      <c r="F123" s="18"/>
      <c r="G123" s="18">
        <f t="shared" si="14"/>
        <v>21203.395558937205</v>
      </c>
      <c r="H123" s="18">
        <f t="shared" si="15"/>
        <v>3423103.0728712617</v>
      </c>
      <c r="I123" s="16"/>
      <c r="J123" s="15"/>
    </row>
    <row r="124" spans="1:10" x14ac:dyDescent="0.3">
      <c r="A124" s="9">
        <f t="shared" si="13"/>
        <v>48611</v>
      </c>
      <c r="B124" s="16">
        <v>103</v>
      </c>
      <c r="C124" s="18">
        <f t="shared" si="11"/>
        <v>48470.821767342946</v>
      </c>
      <c r="D124" s="17">
        <f t="shared" si="12"/>
        <v>9.5000000000000001E-2</v>
      </c>
      <c r="E124" s="18">
        <f t="shared" si="8"/>
        <v>27099.565993564156</v>
      </c>
      <c r="F124" s="18"/>
      <c r="G124" s="18">
        <f t="shared" si="14"/>
        <v>21371.25577377879</v>
      </c>
      <c r="H124" s="18">
        <f t="shared" si="15"/>
        <v>3401731.8170974827</v>
      </c>
      <c r="I124" s="16"/>
      <c r="J124" s="15"/>
    </row>
    <row r="125" spans="1:10" x14ac:dyDescent="0.3">
      <c r="A125" s="9">
        <f t="shared" si="13"/>
        <v>48639</v>
      </c>
      <c r="B125" s="16">
        <v>104</v>
      </c>
      <c r="C125" s="18">
        <f t="shared" si="11"/>
        <v>48470.821767342946</v>
      </c>
      <c r="D125" s="17">
        <f t="shared" si="12"/>
        <v>9.5000000000000001E-2</v>
      </c>
      <c r="E125" s="18">
        <f t="shared" si="8"/>
        <v>26930.376885355076</v>
      </c>
      <c r="F125" s="18"/>
      <c r="G125" s="18">
        <f t="shared" si="14"/>
        <v>21540.444881987871</v>
      </c>
      <c r="H125" s="18">
        <f t="shared" si="15"/>
        <v>3380191.372215495</v>
      </c>
      <c r="I125" s="16"/>
      <c r="J125" s="15"/>
    </row>
    <row r="126" spans="1:10" x14ac:dyDescent="0.3">
      <c r="A126" s="9">
        <f t="shared" si="13"/>
        <v>48670</v>
      </c>
      <c r="B126" s="16">
        <v>105</v>
      </c>
      <c r="C126" s="18">
        <f t="shared" si="11"/>
        <v>48470.821767342946</v>
      </c>
      <c r="D126" s="17">
        <f t="shared" si="12"/>
        <v>9.5000000000000001E-2</v>
      </c>
      <c r="E126" s="18">
        <f t="shared" si="8"/>
        <v>26759.848363372672</v>
      </c>
      <c r="F126" s="18"/>
      <c r="G126" s="18">
        <f t="shared" si="14"/>
        <v>21710.973403970274</v>
      </c>
      <c r="H126" s="18">
        <f t="shared" si="15"/>
        <v>3358480.3988115247</v>
      </c>
      <c r="I126" s="16"/>
      <c r="J126" s="15"/>
    </row>
    <row r="127" spans="1:10" x14ac:dyDescent="0.3">
      <c r="A127" s="9">
        <f t="shared" si="13"/>
        <v>48700</v>
      </c>
      <c r="B127" s="16">
        <v>106</v>
      </c>
      <c r="C127" s="18">
        <f t="shared" si="11"/>
        <v>48470.821767342946</v>
      </c>
      <c r="D127" s="17">
        <f t="shared" si="12"/>
        <v>9.5000000000000001E-2</v>
      </c>
      <c r="E127" s="18">
        <f t="shared" si="8"/>
        <v>26587.969823924574</v>
      </c>
      <c r="F127" s="18"/>
      <c r="G127" s="18">
        <f t="shared" si="14"/>
        <v>21882.851943418373</v>
      </c>
      <c r="H127" s="18">
        <f t="shared" si="15"/>
        <v>3336597.5468681064</v>
      </c>
      <c r="I127" s="16"/>
      <c r="J127" s="15"/>
    </row>
    <row r="128" spans="1:10" x14ac:dyDescent="0.3">
      <c r="A128" s="9">
        <f t="shared" si="13"/>
        <v>48731</v>
      </c>
      <c r="B128" s="16">
        <v>107</v>
      </c>
      <c r="C128" s="18">
        <f t="shared" si="11"/>
        <v>48470.821767342946</v>
      </c>
      <c r="D128" s="17">
        <f t="shared" si="12"/>
        <v>9.5000000000000001E-2</v>
      </c>
      <c r="E128" s="18">
        <f t="shared" si="8"/>
        <v>26414.73057937251</v>
      </c>
      <c r="F128" s="18"/>
      <c r="G128" s="18">
        <f t="shared" si="14"/>
        <v>22056.091187970436</v>
      </c>
      <c r="H128" s="18">
        <f t="shared" si="15"/>
        <v>3314541.4556801361</v>
      </c>
      <c r="I128" s="16"/>
      <c r="J128" s="15"/>
    </row>
    <row r="129" spans="1:10" x14ac:dyDescent="0.3">
      <c r="A129" s="9">
        <f t="shared" si="13"/>
        <v>48761</v>
      </c>
      <c r="B129" s="16">
        <v>108</v>
      </c>
      <c r="C129" s="18">
        <f t="shared" si="11"/>
        <v>48470.821767342946</v>
      </c>
      <c r="D129" s="17">
        <f t="shared" si="12"/>
        <v>9.5000000000000001E-2</v>
      </c>
      <c r="E129" s="18">
        <f t="shared" si="8"/>
        <v>26240.119857467747</v>
      </c>
      <c r="F129" s="18"/>
      <c r="G129" s="18">
        <f t="shared" si="14"/>
        <v>22230.701909875199</v>
      </c>
      <c r="H129" s="18">
        <f t="shared" si="15"/>
        <v>3292310.7537702611</v>
      </c>
      <c r="I129" s="16"/>
      <c r="J129" s="15"/>
    </row>
    <row r="130" spans="1:10" x14ac:dyDescent="0.3">
      <c r="A130" s="9">
        <f t="shared" si="13"/>
        <v>48792</v>
      </c>
      <c r="B130" s="16">
        <v>109</v>
      </c>
      <c r="C130" s="18">
        <f t="shared" si="11"/>
        <v>48470.821767342946</v>
      </c>
      <c r="D130" s="17">
        <f t="shared" si="12"/>
        <v>9.5000000000000001E-2</v>
      </c>
      <c r="E130" s="18">
        <f t="shared" si="8"/>
        <v>26064.126800681235</v>
      </c>
      <c r="F130" s="18"/>
      <c r="G130" s="18">
        <f t="shared" si="14"/>
        <v>22406.694966661711</v>
      </c>
      <c r="H130" s="18">
        <f t="shared" si="15"/>
        <v>3269904.0588035993</v>
      </c>
      <c r="I130" s="16"/>
      <c r="J130" s="15"/>
    </row>
    <row r="131" spans="1:10" x14ac:dyDescent="0.3">
      <c r="A131" s="9">
        <f t="shared" si="13"/>
        <v>48823</v>
      </c>
      <c r="B131" s="16">
        <v>110</v>
      </c>
      <c r="C131" s="18">
        <f t="shared" si="11"/>
        <v>48470.821767342946</v>
      </c>
      <c r="D131" s="17">
        <f t="shared" si="12"/>
        <v>9.5000000000000001E-2</v>
      </c>
      <c r="E131" s="18">
        <f t="shared" si="8"/>
        <v>25886.740465528495</v>
      </c>
      <c r="F131" s="18"/>
      <c r="G131" s="18">
        <f t="shared" si="14"/>
        <v>22584.081301814451</v>
      </c>
      <c r="H131" s="18">
        <f t="shared" si="15"/>
        <v>3247319.9775017849</v>
      </c>
      <c r="I131" s="16"/>
      <c r="J131" s="15"/>
    </row>
    <row r="132" spans="1:10" x14ac:dyDescent="0.3">
      <c r="A132" s="9">
        <f t="shared" si="13"/>
        <v>48853</v>
      </c>
      <c r="B132" s="16">
        <v>111</v>
      </c>
      <c r="C132" s="18">
        <f t="shared" si="11"/>
        <v>48470.821767342946</v>
      </c>
      <c r="D132" s="17">
        <f t="shared" si="12"/>
        <v>9.5000000000000001E-2</v>
      </c>
      <c r="E132" s="18">
        <f t="shared" si="8"/>
        <v>25707.949821889131</v>
      </c>
      <c r="F132" s="18"/>
      <c r="G132" s="18">
        <f t="shared" si="14"/>
        <v>22762.871945453815</v>
      </c>
      <c r="H132" s="18">
        <f t="shared" si="15"/>
        <v>3224557.1055563311</v>
      </c>
      <c r="I132" s="16"/>
      <c r="J132" s="15"/>
    </row>
    <row r="133" spans="1:10" x14ac:dyDescent="0.3">
      <c r="A133" s="9">
        <f t="shared" si="13"/>
        <v>48884</v>
      </c>
      <c r="B133" s="16">
        <v>112</v>
      </c>
      <c r="C133" s="18">
        <f t="shared" si="11"/>
        <v>48470.821767342946</v>
      </c>
      <c r="D133" s="17">
        <f t="shared" si="12"/>
        <v>9.5000000000000001E-2</v>
      </c>
      <c r="E133" s="18">
        <f t="shared" si="8"/>
        <v>25527.743752320956</v>
      </c>
      <c r="F133" s="18"/>
      <c r="G133" s="18">
        <f t="shared" si="14"/>
        <v>22943.078015021991</v>
      </c>
      <c r="H133" s="18">
        <f t="shared" si="15"/>
        <v>3201614.0275413091</v>
      </c>
      <c r="I133" s="16"/>
      <c r="J133" s="15"/>
    </row>
    <row r="134" spans="1:10" x14ac:dyDescent="0.3">
      <c r="A134" s="9">
        <f t="shared" si="13"/>
        <v>48914</v>
      </c>
      <c r="B134" s="16">
        <v>113</v>
      </c>
      <c r="C134" s="18">
        <f t="shared" si="11"/>
        <v>48470.821767342946</v>
      </c>
      <c r="D134" s="17">
        <f t="shared" si="12"/>
        <v>9.5000000000000001E-2</v>
      </c>
      <c r="E134" s="18">
        <f t="shared" si="8"/>
        <v>25346.111051368698</v>
      </c>
      <c r="F134" s="18"/>
      <c r="G134" s="18">
        <f t="shared" si="14"/>
        <v>23124.710715974248</v>
      </c>
      <c r="H134" s="18">
        <f t="shared" si="15"/>
        <v>3178489.3168253349</v>
      </c>
      <c r="I134" s="16"/>
      <c r="J134" s="15"/>
    </row>
    <row r="135" spans="1:10" x14ac:dyDescent="0.3">
      <c r="A135" s="9">
        <f t="shared" si="13"/>
        <v>48945</v>
      </c>
      <c r="B135" s="16">
        <v>114</v>
      </c>
      <c r="C135" s="18">
        <f t="shared" si="11"/>
        <v>48470.821767342946</v>
      </c>
      <c r="D135" s="17">
        <f t="shared" si="12"/>
        <v>9.5000000000000001E-2</v>
      </c>
      <c r="E135" s="18">
        <f t="shared" si="8"/>
        <v>25163.040424867238</v>
      </c>
      <c r="F135" s="18"/>
      <c r="G135" s="18">
        <f t="shared" si="14"/>
        <v>23307.781342475708</v>
      </c>
      <c r="H135" s="18">
        <f t="shared" si="15"/>
        <v>3155181.5354828592</v>
      </c>
      <c r="I135" s="16"/>
      <c r="J135" s="15"/>
    </row>
    <row r="136" spans="1:10" x14ac:dyDescent="0.3">
      <c r="A136" s="9">
        <f t="shared" si="13"/>
        <v>48976</v>
      </c>
      <c r="B136" s="16">
        <v>115</v>
      </c>
      <c r="C136" s="18">
        <f t="shared" si="11"/>
        <v>48470.821767342946</v>
      </c>
      <c r="D136" s="17">
        <f t="shared" si="12"/>
        <v>9.5000000000000001E-2</v>
      </c>
      <c r="E136" s="18">
        <f t="shared" si="8"/>
        <v>24978.520489239305</v>
      </c>
      <c r="F136" s="18"/>
      <c r="G136" s="18">
        <f t="shared" si="14"/>
        <v>23492.301278103641</v>
      </c>
      <c r="H136" s="18">
        <f t="shared" si="15"/>
        <v>3131689.2342047556</v>
      </c>
      <c r="I136" s="16"/>
      <c r="J136" s="15"/>
    </row>
    <row r="137" spans="1:10" x14ac:dyDescent="0.3">
      <c r="A137" s="9">
        <f t="shared" si="13"/>
        <v>49004</v>
      </c>
      <c r="B137" s="16">
        <v>116</v>
      </c>
      <c r="C137" s="18">
        <f t="shared" si="11"/>
        <v>48470.821767342946</v>
      </c>
      <c r="D137" s="17">
        <f t="shared" si="12"/>
        <v>9.5000000000000001E-2</v>
      </c>
      <c r="E137" s="18">
        <f t="shared" si="8"/>
        <v>24792.539770787651</v>
      </c>
      <c r="F137" s="18"/>
      <c r="G137" s="18">
        <f t="shared" si="14"/>
        <v>23678.281996555295</v>
      </c>
      <c r="H137" s="18">
        <f t="shared" si="15"/>
        <v>3108010.9522082005</v>
      </c>
      <c r="I137" s="16"/>
      <c r="J137" s="15"/>
    </row>
    <row r="138" spans="1:10" x14ac:dyDescent="0.3">
      <c r="A138" s="9">
        <f t="shared" si="13"/>
        <v>49035</v>
      </c>
      <c r="B138" s="16">
        <v>117</v>
      </c>
      <c r="C138" s="18">
        <f t="shared" si="11"/>
        <v>48470.821767342946</v>
      </c>
      <c r="D138" s="17">
        <f t="shared" si="12"/>
        <v>9.5000000000000001E-2</v>
      </c>
      <c r="E138" s="18">
        <f t="shared" si="8"/>
        <v>24605.08670498159</v>
      </c>
      <c r="F138" s="18"/>
      <c r="G138" s="18">
        <f t="shared" si="14"/>
        <v>23865.735062361357</v>
      </c>
      <c r="H138" s="18">
        <f t="shared" si="15"/>
        <v>3084145.2171458392</v>
      </c>
      <c r="I138" s="16"/>
      <c r="J138" s="15"/>
    </row>
    <row r="139" spans="1:10" x14ac:dyDescent="0.3">
      <c r="A139" s="9">
        <f t="shared" si="13"/>
        <v>49065</v>
      </c>
      <c r="B139" s="16">
        <v>118</v>
      </c>
      <c r="C139" s="18">
        <f t="shared" si="11"/>
        <v>48470.821767342946</v>
      </c>
      <c r="D139" s="17">
        <f t="shared" si="12"/>
        <v>9.5000000000000001E-2</v>
      </c>
      <c r="E139" s="18">
        <f t="shared" si="8"/>
        <v>24416.149635737896</v>
      </c>
      <c r="F139" s="18"/>
      <c r="G139" s="18">
        <f t="shared" si="14"/>
        <v>24054.67213160505</v>
      </c>
      <c r="H139" s="18">
        <f t="shared" si="15"/>
        <v>3060090.5450142343</v>
      </c>
      <c r="I139" s="16"/>
      <c r="J139" s="15"/>
    </row>
    <row r="140" spans="1:10" x14ac:dyDescent="0.3">
      <c r="A140" s="9">
        <f t="shared" si="13"/>
        <v>49096</v>
      </c>
      <c r="B140" s="16">
        <v>119</v>
      </c>
      <c r="C140" s="18">
        <f t="shared" si="11"/>
        <v>48470.821767342946</v>
      </c>
      <c r="D140" s="17">
        <f t="shared" si="12"/>
        <v>9.5000000000000001E-2</v>
      </c>
      <c r="E140" s="18">
        <f t="shared" si="8"/>
        <v>24225.716814696025</v>
      </c>
      <c r="F140" s="18"/>
      <c r="G140" s="18">
        <f t="shared" si="14"/>
        <v>24245.104952646921</v>
      </c>
      <c r="H140" s="18">
        <f t="shared" si="15"/>
        <v>3035845.4400615874</v>
      </c>
      <c r="I140" s="16"/>
      <c r="J140" s="15"/>
    </row>
    <row r="141" spans="1:10" x14ac:dyDescent="0.3">
      <c r="A141" s="9">
        <f t="shared" si="13"/>
        <v>49126</v>
      </c>
      <c r="B141" s="16">
        <v>120</v>
      </c>
      <c r="C141" s="18">
        <f t="shared" si="11"/>
        <v>48470.821767342946</v>
      </c>
      <c r="D141" s="17">
        <f t="shared" si="12"/>
        <v>9.5000000000000001E-2</v>
      </c>
      <c r="E141" s="18">
        <f t="shared" si="8"/>
        <v>24033.776400487568</v>
      </c>
      <c r="F141" s="18"/>
      <c r="G141" s="18">
        <f t="shared" si="14"/>
        <v>24437.045366855378</v>
      </c>
      <c r="H141" s="18">
        <f t="shared" si="15"/>
        <v>3011408.394694732</v>
      </c>
      <c r="I141" s="16"/>
      <c r="J141" s="15"/>
    </row>
    <row r="142" spans="1:10" x14ac:dyDescent="0.3">
      <c r="A142" s="9">
        <f t="shared" si="13"/>
        <v>49157</v>
      </c>
      <c r="B142" s="16">
        <v>121</v>
      </c>
      <c r="C142" s="18">
        <f t="shared" si="11"/>
        <v>48470.821767342946</v>
      </c>
      <c r="D142" s="17">
        <f t="shared" si="12"/>
        <v>9.5000000000000001E-2</v>
      </c>
      <c r="E142" s="18">
        <f t="shared" si="8"/>
        <v>23840.316457999965</v>
      </c>
      <c r="F142" s="18"/>
      <c r="G142" s="18">
        <f t="shared" si="14"/>
        <v>24630.505309342981</v>
      </c>
      <c r="H142" s="18">
        <f t="shared" si="15"/>
        <v>2986777.8893853892</v>
      </c>
      <c r="I142" s="16"/>
      <c r="J142" s="15"/>
    </row>
    <row r="143" spans="1:10" x14ac:dyDescent="0.3">
      <c r="A143" s="9">
        <f t="shared" si="13"/>
        <v>49188</v>
      </c>
      <c r="B143" s="16">
        <v>122</v>
      </c>
      <c r="C143" s="18">
        <f t="shared" si="11"/>
        <v>48470.821767342946</v>
      </c>
      <c r="D143" s="17">
        <f t="shared" si="12"/>
        <v>9.5000000000000001E-2</v>
      </c>
      <c r="E143" s="18">
        <f t="shared" si="8"/>
        <v>23645.324957634333</v>
      </c>
      <c r="F143" s="18"/>
      <c r="G143" s="18">
        <f t="shared" si="14"/>
        <v>24825.496809708613</v>
      </c>
      <c r="H143" s="18">
        <f t="shared" si="15"/>
        <v>2961952.3925756807</v>
      </c>
      <c r="I143" s="16"/>
      <c r="J143" s="15"/>
    </row>
    <row r="144" spans="1:10" x14ac:dyDescent="0.3">
      <c r="A144" s="9">
        <f t="shared" si="13"/>
        <v>49218</v>
      </c>
      <c r="B144" s="16">
        <v>123</v>
      </c>
      <c r="C144" s="18">
        <f t="shared" si="11"/>
        <v>48470.821767342946</v>
      </c>
      <c r="D144" s="17">
        <f t="shared" si="12"/>
        <v>9.5000000000000001E-2</v>
      </c>
      <c r="E144" s="18">
        <f t="shared" si="8"/>
        <v>23448.789774557474</v>
      </c>
      <c r="F144" s="18"/>
      <c r="G144" s="18">
        <f t="shared" si="14"/>
        <v>25022.031992785473</v>
      </c>
      <c r="H144" s="18">
        <f t="shared" si="15"/>
        <v>2936930.3605828951</v>
      </c>
      <c r="I144" s="16"/>
      <c r="J144" s="15"/>
    </row>
    <row r="145" spans="1:10" x14ac:dyDescent="0.3">
      <c r="A145" s="9">
        <f t="shared" si="13"/>
        <v>49249</v>
      </c>
      <c r="B145" s="16">
        <v>124</v>
      </c>
      <c r="C145" s="18">
        <f t="shared" si="11"/>
        <v>48470.821767342946</v>
      </c>
      <c r="D145" s="17">
        <f t="shared" si="12"/>
        <v>9.5000000000000001E-2</v>
      </c>
      <c r="E145" s="18">
        <f t="shared" si="8"/>
        <v>23250.698687947923</v>
      </c>
      <c r="F145" s="18"/>
      <c r="G145" s="18">
        <f t="shared" si="14"/>
        <v>25220.123079395024</v>
      </c>
      <c r="H145" s="18">
        <f t="shared" si="15"/>
        <v>2911710.2375035002</v>
      </c>
      <c r="I145" s="16"/>
      <c r="J145" s="15"/>
    </row>
    <row r="146" spans="1:10" x14ac:dyDescent="0.3">
      <c r="A146" s="9">
        <f t="shared" si="13"/>
        <v>49279</v>
      </c>
      <c r="B146" s="16">
        <v>125</v>
      </c>
      <c r="C146" s="18">
        <f t="shared" si="11"/>
        <v>48470.821767342946</v>
      </c>
      <c r="D146" s="17">
        <f t="shared" si="12"/>
        <v>9.5000000000000001E-2</v>
      </c>
      <c r="E146" s="18">
        <f t="shared" si="8"/>
        <v>23051.039380236045</v>
      </c>
      <c r="F146" s="18"/>
      <c r="G146" s="18">
        <f t="shared" si="14"/>
        <v>25419.782387106901</v>
      </c>
      <c r="H146" s="18">
        <f t="shared" si="15"/>
        <v>2886290.4551163935</v>
      </c>
      <c r="I146" s="16"/>
      <c r="J146" s="15"/>
    </row>
    <row r="147" spans="1:10" x14ac:dyDescent="0.3">
      <c r="A147" s="9">
        <f t="shared" si="13"/>
        <v>49310</v>
      </c>
      <c r="B147" s="16">
        <v>126</v>
      </c>
      <c r="C147" s="18">
        <f t="shared" si="11"/>
        <v>48470.821767342946</v>
      </c>
      <c r="D147" s="17">
        <f t="shared" si="12"/>
        <v>9.5000000000000001E-2</v>
      </c>
      <c r="E147" s="18">
        <f t="shared" si="8"/>
        <v>22849.799436338119</v>
      </c>
      <c r="F147" s="18"/>
      <c r="G147" s="18">
        <f t="shared" si="14"/>
        <v>25621.022331004828</v>
      </c>
      <c r="H147" s="18">
        <f t="shared" si="15"/>
        <v>2860669.4327853885</v>
      </c>
      <c r="I147" s="16"/>
      <c r="J147" s="15"/>
    </row>
    <row r="148" spans="1:10" x14ac:dyDescent="0.3">
      <c r="A148" s="9">
        <f t="shared" si="13"/>
        <v>49341</v>
      </c>
      <c r="B148" s="16">
        <v>127</v>
      </c>
      <c r="C148" s="18">
        <f t="shared" si="11"/>
        <v>48470.821767342946</v>
      </c>
      <c r="D148" s="17">
        <f t="shared" si="12"/>
        <v>9.5000000000000001E-2</v>
      </c>
      <c r="E148" s="18">
        <f t="shared" si="8"/>
        <v>22646.966342884327</v>
      </c>
      <c r="F148" s="18"/>
      <c r="G148" s="18">
        <f t="shared" si="14"/>
        <v>25823.855424458619</v>
      </c>
      <c r="H148" s="18">
        <f t="shared" si="15"/>
        <v>2834845.5773609299</v>
      </c>
      <c r="I148" s="16"/>
      <c r="J148" s="15"/>
    </row>
    <row r="149" spans="1:10" x14ac:dyDescent="0.3">
      <c r="A149" s="9">
        <f t="shared" si="13"/>
        <v>49369</v>
      </c>
      <c r="B149" s="16">
        <v>128</v>
      </c>
      <c r="C149" s="18">
        <f t="shared" si="11"/>
        <v>48470.821767342946</v>
      </c>
      <c r="D149" s="17">
        <f t="shared" si="12"/>
        <v>9.5000000000000001E-2</v>
      </c>
      <c r="E149" s="18">
        <f t="shared" si="8"/>
        <v>22442.527487440697</v>
      </c>
      <c r="F149" s="18"/>
      <c r="G149" s="18">
        <f t="shared" si="14"/>
        <v>26028.294279902249</v>
      </c>
      <c r="H149" s="18">
        <f t="shared" si="15"/>
        <v>2808817.2830810277</v>
      </c>
      <c r="I149" s="16"/>
      <c r="J149" s="15"/>
    </row>
    <row r="150" spans="1:10" x14ac:dyDescent="0.3">
      <c r="A150" s="9">
        <f t="shared" si="13"/>
        <v>49400</v>
      </c>
      <c r="B150" s="2">
        <v>129</v>
      </c>
      <c r="C150" s="4">
        <f t="shared" si="11"/>
        <v>48470.821767342946</v>
      </c>
      <c r="D150" s="6">
        <f t="shared" si="12"/>
        <v>9.5000000000000001E-2</v>
      </c>
      <c r="E150" s="4">
        <f t="shared" ref="E150:E213" si="16">H149*(D150/12)</f>
        <v>22236.470157724805</v>
      </c>
      <c r="F150" s="4"/>
      <c r="G150" s="4">
        <f t="shared" ref="G150:G181" si="17">C150-E150</f>
        <v>26234.351609618141</v>
      </c>
      <c r="H150" s="4">
        <f t="shared" ref="H150:H181" si="18">IF(H149-G150-I150&lt;0,0,H149-G150-I150)</f>
        <v>2782582.9314714097</v>
      </c>
      <c r="I150" s="2"/>
      <c r="J150" s="15"/>
    </row>
    <row r="151" spans="1:10" x14ac:dyDescent="0.3">
      <c r="A151" s="9">
        <f t="shared" si="13"/>
        <v>49430</v>
      </c>
      <c r="B151" s="2">
        <v>130</v>
      </c>
      <c r="C151" s="4">
        <f t="shared" ref="C151:C214" si="19">IF(H150=0,0,$C$18)</f>
        <v>48470.821767342946</v>
      </c>
      <c r="D151" s="6">
        <f t="shared" ref="D151:D214" si="20">VLOOKUP(B151,$D$3:$E$17,2)</f>
        <v>9.5000000000000001E-2</v>
      </c>
      <c r="E151" s="4">
        <f t="shared" si="16"/>
        <v>22028.781540815329</v>
      </c>
      <c r="F151" s="4"/>
      <c r="G151" s="4">
        <f t="shared" si="17"/>
        <v>26442.040226527617</v>
      </c>
      <c r="H151" s="4">
        <f t="shared" si="18"/>
        <v>2756140.8912448823</v>
      </c>
      <c r="I151" s="2"/>
    </row>
    <row r="152" spans="1:10" x14ac:dyDescent="0.3">
      <c r="A152" s="9">
        <f t="shared" ref="A152:A215" si="21">EDATE(A151,1)</f>
        <v>49461</v>
      </c>
      <c r="B152" s="2">
        <v>131</v>
      </c>
      <c r="C152" s="4">
        <f t="shared" si="19"/>
        <v>48470.821767342946</v>
      </c>
      <c r="D152" s="6">
        <f t="shared" si="20"/>
        <v>9.5000000000000001E-2</v>
      </c>
      <c r="E152" s="4">
        <f t="shared" si="16"/>
        <v>21819.448722355319</v>
      </c>
      <c r="F152" s="4"/>
      <c r="G152" s="4">
        <f t="shared" si="17"/>
        <v>26651.373044987628</v>
      </c>
      <c r="H152" s="4">
        <f t="shared" si="18"/>
        <v>2729489.5181998946</v>
      </c>
      <c r="I152" s="2"/>
    </row>
    <row r="153" spans="1:10" x14ac:dyDescent="0.3">
      <c r="A153" s="9">
        <f t="shared" si="21"/>
        <v>49491</v>
      </c>
      <c r="B153" s="2">
        <v>132</v>
      </c>
      <c r="C153" s="4">
        <f t="shared" si="19"/>
        <v>48470.821767342946</v>
      </c>
      <c r="D153" s="6">
        <f t="shared" si="20"/>
        <v>9.5000000000000001E-2</v>
      </c>
      <c r="E153" s="4">
        <f t="shared" si="16"/>
        <v>21608.458685749167</v>
      </c>
      <c r="F153" s="4"/>
      <c r="G153" s="4">
        <f t="shared" si="17"/>
        <v>26862.363081593779</v>
      </c>
      <c r="H153" s="4">
        <f t="shared" si="18"/>
        <v>2702627.1551183006</v>
      </c>
      <c r="I153" s="2"/>
    </row>
    <row r="154" spans="1:10" x14ac:dyDescent="0.3">
      <c r="A154" s="9">
        <f t="shared" si="21"/>
        <v>49522</v>
      </c>
      <c r="B154" s="2">
        <v>133</v>
      </c>
      <c r="C154" s="4">
        <f t="shared" si="19"/>
        <v>48470.821767342946</v>
      </c>
      <c r="D154" s="6">
        <f t="shared" si="20"/>
        <v>9.5000000000000001E-2</v>
      </c>
      <c r="E154" s="4">
        <f t="shared" si="16"/>
        <v>21395.798311353214</v>
      </c>
      <c r="F154" s="4"/>
      <c r="G154" s="4">
        <f t="shared" si="17"/>
        <v>27075.023455989733</v>
      </c>
      <c r="H154" s="4">
        <f t="shared" si="18"/>
        <v>2675552.131662311</v>
      </c>
      <c r="I154" s="2"/>
    </row>
    <row r="155" spans="1:10" x14ac:dyDescent="0.3">
      <c r="A155" s="9">
        <f t="shared" si="21"/>
        <v>49553</v>
      </c>
      <c r="B155" s="2">
        <v>134</v>
      </c>
      <c r="C155" s="4">
        <f t="shared" si="19"/>
        <v>48470.821767342946</v>
      </c>
      <c r="D155" s="6">
        <f t="shared" si="20"/>
        <v>9.5000000000000001E-2</v>
      </c>
      <c r="E155" s="4">
        <f t="shared" si="16"/>
        <v>21181.454375659963</v>
      </c>
      <c r="F155" s="4"/>
      <c r="G155" s="4">
        <f t="shared" si="17"/>
        <v>27289.367391682983</v>
      </c>
      <c r="H155" s="4">
        <f t="shared" si="18"/>
        <v>2648262.7642706279</v>
      </c>
      <c r="I155" s="2"/>
    </row>
    <row r="156" spans="1:10" x14ac:dyDescent="0.3">
      <c r="A156" s="9">
        <f t="shared" si="21"/>
        <v>49583</v>
      </c>
      <c r="B156" s="2">
        <v>135</v>
      </c>
      <c r="C156" s="4">
        <f t="shared" si="19"/>
        <v>48470.821767342946</v>
      </c>
      <c r="D156" s="6">
        <f t="shared" si="20"/>
        <v>9.5000000000000001E-2</v>
      </c>
      <c r="E156" s="4">
        <f t="shared" si="16"/>
        <v>20965.413550475805</v>
      </c>
      <c r="F156" s="4"/>
      <c r="G156" s="4">
        <f t="shared" si="17"/>
        <v>27505.408216867141</v>
      </c>
      <c r="H156" s="4">
        <f t="shared" si="18"/>
        <v>2620757.3560537607</v>
      </c>
      <c r="I156" s="2"/>
    </row>
    <row r="157" spans="1:10" x14ac:dyDescent="0.3">
      <c r="A157" s="9">
        <f t="shared" si="21"/>
        <v>49614</v>
      </c>
      <c r="B157" s="2">
        <v>136</v>
      </c>
      <c r="C157" s="4">
        <f t="shared" si="19"/>
        <v>48470.821767342946</v>
      </c>
      <c r="D157" s="6">
        <f t="shared" si="20"/>
        <v>9.5000000000000001E-2</v>
      </c>
      <c r="E157" s="4">
        <f t="shared" si="16"/>
        <v>20747.662402092275</v>
      </c>
      <c r="F157" s="4"/>
      <c r="G157" s="4">
        <f t="shared" si="17"/>
        <v>27723.159365250671</v>
      </c>
      <c r="H157" s="4">
        <f t="shared" si="18"/>
        <v>2593034.19668851</v>
      </c>
      <c r="I157" s="2"/>
    </row>
    <row r="158" spans="1:10" x14ac:dyDescent="0.3">
      <c r="A158" s="9">
        <f t="shared" si="21"/>
        <v>49644</v>
      </c>
      <c r="B158" s="2">
        <v>137</v>
      </c>
      <c r="C158" s="4">
        <f t="shared" si="19"/>
        <v>48470.821767342946</v>
      </c>
      <c r="D158" s="6">
        <f t="shared" si="20"/>
        <v>9.5000000000000001E-2</v>
      </c>
      <c r="E158" s="4">
        <f t="shared" si="16"/>
        <v>20528.187390450705</v>
      </c>
      <c r="F158" s="4"/>
      <c r="G158" s="4">
        <f t="shared" si="17"/>
        <v>27942.634376892242</v>
      </c>
      <c r="H158" s="4">
        <f t="shared" si="18"/>
        <v>2565091.5623116177</v>
      </c>
      <c r="I158" s="2"/>
    </row>
    <row r="159" spans="1:10" x14ac:dyDescent="0.3">
      <c r="A159" s="9">
        <f t="shared" si="21"/>
        <v>49675</v>
      </c>
      <c r="B159" s="2">
        <v>138</v>
      </c>
      <c r="C159" s="4">
        <f t="shared" si="19"/>
        <v>48470.821767342946</v>
      </c>
      <c r="D159" s="6">
        <f t="shared" si="20"/>
        <v>9.5000000000000001E-2</v>
      </c>
      <c r="E159" s="4">
        <f t="shared" si="16"/>
        <v>20306.974868300309</v>
      </c>
      <c r="F159" s="4"/>
      <c r="G159" s="4">
        <f t="shared" si="17"/>
        <v>28163.846899042637</v>
      </c>
      <c r="H159" s="4">
        <f t="shared" si="18"/>
        <v>2536927.7154125748</v>
      </c>
      <c r="I159" s="2"/>
    </row>
    <row r="160" spans="1:10" x14ac:dyDescent="0.3">
      <c r="A160" s="9">
        <f t="shared" si="21"/>
        <v>49706</v>
      </c>
      <c r="B160" s="2">
        <v>139</v>
      </c>
      <c r="C160" s="4">
        <f t="shared" si="19"/>
        <v>48470.821767342946</v>
      </c>
      <c r="D160" s="6">
        <f t="shared" si="20"/>
        <v>9.5000000000000001E-2</v>
      </c>
      <c r="E160" s="4">
        <f t="shared" si="16"/>
        <v>20084.011080349552</v>
      </c>
      <c r="F160" s="4"/>
      <c r="G160" s="4">
        <f t="shared" si="17"/>
        <v>28386.810686993394</v>
      </c>
      <c r="H160" s="4">
        <f t="shared" si="18"/>
        <v>2508540.9047255814</v>
      </c>
      <c r="I160" s="2"/>
    </row>
    <row r="161" spans="1:9" x14ac:dyDescent="0.3">
      <c r="A161" s="9">
        <f t="shared" si="21"/>
        <v>49735</v>
      </c>
      <c r="B161" s="2">
        <v>140</v>
      </c>
      <c r="C161" s="4">
        <f t="shared" si="19"/>
        <v>48470.821767342946</v>
      </c>
      <c r="D161" s="6">
        <f t="shared" si="20"/>
        <v>9.5000000000000001E-2</v>
      </c>
      <c r="E161" s="4">
        <f t="shared" si="16"/>
        <v>19859.282162410855</v>
      </c>
      <c r="F161" s="4"/>
      <c r="G161" s="4">
        <f t="shared" si="17"/>
        <v>28611.539604932092</v>
      </c>
      <c r="H161" s="4">
        <f t="shared" si="18"/>
        <v>2479929.3651206493</v>
      </c>
      <c r="I161" s="2"/>
    </row>
    <row r="162" spans="1:9" x14ac:dyDescent="0.3">
      <c r="A162" s="9">
        <f t="shared" si="21"/>
        <v>49766</v>
      </c>
      <c r="B162" s="2">
        <v>141</v>
      </c>
      <c r="C162" s="4">
        <f t="shared" si="19"/>
        <v>48470.821767342946</v>
      </c>
      <c r="D162" s="6">
        <f t="shared" si="20"/>
        <v>9.5000000000000001E-2</v>
      </c>
      <c r="E162" s="4">
        <f t="shared" si="16"/>
        <v>19632.774140538477</v>
      </c>
      <c r="F162" s="4"/>
      <c r="G162" s="4">
        <f t="shared" si="17"/>
        <v>28838.047626804469</v>
      </c>
      <c r="H162" s="4">
        <f t="shared" si="18"/>
        <v>2451091.3174938448</v>
      </c>
      <c r="I162" s="2"/>
    </row>
    <row r="163" spans="1:9" x14ac:dyDescent="0.3">
      <c r="A163" s="9">
        <f t="shared" si="21"/>
        <v>49796</v>
      </c>
      <c r="B163" s="2">
        <v>142</v>
      </c>
      <c r="C163" s="4">
        <f t="shared" si="19"/>
        <v>48470.821767342946</v>
      </c>
      <c r="D163" s="6">
        <f t="shared" si="20"/>
        <v>9.5000000000000001E-2</v>
      </c>
      <c r="E163" s="4">
        <f t="shared" si="16"/>
        <v>19404.472930159605</v>
      </c>
      <c r="F163" s="4"/>
      <c r="G163" s="4">
        <f t="shared" si="17"/>
        <v>29066.348837183341</v>
      </c>
      <c r="H163" s="4">
        <f t="shared" si="18"/>
        <v>2422024.9686566615</v>
      </c>
      <c r="I163" s="2"/>
    </row>
    <row r="164" spans="1:9" x14ac:dyDescent="0.3">
      <c r="A164" s="9">
        <f t="shared" si="21"/>
        <v>49827</v>
      </c>
      <c r="B164" s="2">
        <v>143</v>
      </c>
      <c r="C164" s="4">
        <f t="shared" si="19"/>
        <v>48470.821767342946</v>
      </c>
      <c r="D164" s="6">
        <f t="shared" si="20"/>
        <v>9.5000000000000001E-2</v>
      </c>
      <c r="E164" s="4">
        <f t="shared" si="16"/>
        <v>19174.36433519857</v>
      </c>
      <c r="F164" s="4"/>
      <c r="G164" s="4">
        <f t="shared" si="17"/>
        <v>29296.457432144376</v>
      </c>
      <c r="H164" s="4">
        <f t="shared" si="18"/>
        <v>2392728.5112245171</v>
      </c>
      <c r="I164" s="2"/>
    </row>
    <row r="165" spans="1:9" x14ac:dyDescent="0.3">
      <c r="A165" s="9">
        <f t="shared" si="21"/>
        <v>49857</v>
      </c>
      <c r="B165" s="2">
        <v>144</v>
      </c>
      <c r="C165" s="4">
        <f t="shared" si="19"/>
        <v>48470.821767342946</v>
      </c>
      <c r="D165" s="6">
        <f t="shared" si="20"/>
        <v>9.5000000000000001E-2</v>
      </c>
      <c r="E165" s="4">
        <f t="shared" si="16"/>
        <v>18942.434047194096</v>
      </c>
      <c r="F165" s="4"/>
      <c r="G165" s="4">
        <f t="shared" si="17"/>
        <v>29528.38772014885</v>
      </c>
      <c r="H165" s="4">
        <f t="shared" si="18"/>
        <v>2363200.1235043681</v>
      </c>
      <c r="I165" s="2"/>
    </row>
    <row r="166" spans="1:9" x14ac:dyDescent="0.3">
      <c r="A166" s="9">
        <f t="shared" si="21"/>
        <v>49888</v>
      </c>
      <c r="B166" s="2">
        <v>145</v>
      </c>
      <c r="C166" s="4">
        <f t="shared" si="19"/>
        <v>48470.821767342946</v>
      </c>
      <c r="D166" s="6">
        <f t="shared" si="20"/>
        <v>9.5000000000000001E-2</v>
      </c>
      <c r="E166" s="4">
        <f t="shared" si="16"/>
        <v>18708.667644409583</v>
      </c>
      <c r="F166" s="4"/>
      <c r="G166" s="4">
        <f t="shared" si="17"/>
        <v>29762.154122933363</v>
      </c>
      <c r="H166" s="4">
        <f t="shared" si="18"/>
        <v>2333437.9693814348</v>
      </c>
      <c r="I166" s="2"/>
    </row>
    <row r="167" spans="1:9" x14ac:dyDescent="0.3">
      <c r="A167" s="9">
        <f t="shared" si="21"/>
        <v>49919</v>
      </c>
      <c r="B167" s="2">
        <v>146</v>
      </c>
      <c r="C167" s="4">
        <f t="shared" si="19"/>
        <v>48470.821767342946</v>
      </c>
      <c r="D167" s="6">
        <f t="shared" si="20"/>
        <v>9.5000000000000001E-2</v>
      </c>
      <c r="E167" s="4">
        <f t="shared" si="16"/>
        <v>18473.05059093636</v>
      </c>
      <c r="F167" s="4"/>
      <c r="G167" s="4">
        <f t="shared" si="17"/>
        <v>29997.771176406586</v>
      </c>
      <c r="H167" s="4">
        <f t="shared" si="18"/>
        <v>2303440.1982050282</v>
      </c>
      <c r="I167" s="2"/>
    </row>
    <row r="168" spans="1:9" x14ac:dyDescent="0.3">
      <c r="A168" s="9">
        <f t="shared" si="21"/>
        <v>49949</v>
      </c>
      <c r="B168" s="2">
        <v>147</v>
      </c>
      <c r="C168" s="4">
        <f t="shared" si="19"/>
        <v>48470.821767342946</v>
      </c>
      <c r="D168" s="6">
        <f t="shared" si="20"/>
        <v>9.5000000000000001E-2</v>
      </c>
      <c r="E168" s="4">
        <f t="shared" si="16"/>
        <v>18235.568235789808</v>
      </c>
      <c r="F168" s="4"/>
      <c r="G168" s="4">
        <f t="shared" si="17"/>
        <v>30235.253531553139</v>
      </c>
      <c r="H168" s="4">
        <f t="shared" si="18"/>
        <v>2273204.9446734749</v>
      </c>
      <c r="I168" s="2"/>
    </row>
    <row r="169" spans="1:9" x14ac:dyDescent="0.3">
      <c r="A169" s="9">
        <f t="shared" si="21"/>
        <v>49980</v>
      </c>
      <c r="B169" s="2">
        <v>148</v>
      </c>
      <c r="C169" s="4">
        <f t="shared" si="19"/>
        <v>48470.821767342946</v>
      </c>
      <c r="D169" s="6">
        <f t="shared" si="20"/>
        <v>9.5000000000000001E-2</v>
      </c>
      <c r="E169" s="4">
        <f t="shared" si="16"/>
        <v>17996.205811998345</v>
      </c>
      <c r="F169" s="4"/>
      <c r="G169" s="4">
        <f t="shared" si="17"/>
        <v>30474.615955344601</v>
      </c>
      <c r="H169" s="4">
        <f t="shared" si="18"/>
        <v>2242730.3287181305</v>
      </c>
      <c r="I169" s="2"/>
    </row>
    <row r="170" spans="1:9" x14ac:dyDescent="0.3">
      <c r="A170" s="9">
        <f t="shared" si="21"/>
        <v>50010</v>
      </c>
      <c r="B170" s="2">
        <v>149</v>
      </c>
      <c r="C170" s="4">
        <f t="shared" si="19"/>
        <v>48470.821767342946</v>
      </c>
      <c r="D170" s="6">
        <f t="shared" si="20"/>
        <v>9.5000000000000001E-2</v>
      </c>
      <c r="E170" s="4">
        <f t="shared" si="16"/>
        <v>17754.948435685201</v>
      </c>
      <c r="F170" s="4"/>
      <c r="G170" s="4">
        <f t="shared" si="17"/>
        <v>30715.873331657745</v>
      </c>
      <c r="H170" s="4">
        <f t="shared" si="18"/>
        <v>2212014.4553864729</v>
      </c>
      <c r="I170" s="2"/>
    </row>
    <row r="171" spans="1:9" x14ac:dyDescent="0.3">
      <c r="A171" s="9">
        <f t="shared" si="21"/>
        <v>50041</v>
      </c>
      <c r="B171" s="2">
        <v>150</v>
      </c>
      <c r="C171" s="4">
        <f t="shared" si="19"/>
        <v>48470.821767342946</v>
      </c>
      <c r="D171" s="6">
        <f t="shared" si="20"/>
        <v>9.5000000000000001E-2</v>
      </c>
      <c r="E171" s="4">
        <f t="shared" si="16"/>
        <v>17511.781105142913</v>
      </c>
      <c r="F171" s="4"/>
      <c r="G171" s="4">
        <f t="shared" si="17"/>
        <v>30959.040662200034</v>
      </c>
      <c r="H171" s="4">
        <f t="shared" si="18"/>
        <v>2181055.4147242727</v>
      </c>
      <c r="I171" s="2"/>
    </row>
    <row r="172" spans="1:9" x14ac:dyDescent="0.3">
      <c r="A172" s="9">
        <f t="shared" si="21"/>
        <v>50072</v>
      </c>
      <c r="B172" s="2">
        <v>151</v>
      </c>
      <c r="C172" s="4">
        <f t="shared" si="19"/>
        <v>48470.821767342946</v>
      </c>
      <c r="D172" s="6">
        <f t="shared" si="20"/>
        <v>9.5000000000000001E-2</v>
      </c>
      <c r="E172" s="4">
        <f t="shared" si="16"/>
        <v>17266.688699900493</v>
      </c>
      <c r="F172" s="4"/>
      <c r="G172" s="4">
        <f t="shared" si="17"/>
        <v>31204.133067442453</v>
      </c>
      <c r="H172" s="4">
        <f t="shared" si="18"/>
        <v>2149851.2816568301</v>
      </c>
      <c r="I172" s="2"/>
    </row>
    <row r="173" spans="1:9" x14ac:dyDescent="0.3">
      <c r="A173" s="9">
        <f t="shared" si="21"/>
        <v>50100</v>
      </c>
      <c r="B173" s="2">
        <v>152</v>
      </c>
      <c r="C173" s="4">
        <f t="shared" si="19"/>
        <v>48470.821767342946</v>
      </c>
      <c r="D173" s="6">
        <f t="shared" si="20"/>
        <v>9.5000000000000001E-2</v>
      </c>
      <c r="E173" s="4">
        <f t="shared" si="16"/>
        <v>17019.655979783241</v>
      </c>
      <c r="F173" s="4"/>
      <c r="G173" s="4">
        <f t="shared" si="17"/>
        <v>31451.165787559705</v>
      </c>
      <c r="H173" s="4">
        <f t="shared" si="18"/>
        <v>2118400.1158692702</v>
      </c>
      <c r="I173" s="2"/>
    </row>
    <row r="174" spans="1:9" x14ac:dyDescent="0.3">
      <c r="A174" s="9">
        <f t="shared" si="21"/>
        <v>50131</v>
      </c>
      <c r="B174" s="2">
        <v>153</v>
      </c>
      <c r="C174" s="4">
        <f t="shared" si="19"/>
        <v>48470.821767342946</v>
      </c>
      <c r="D174" s="6">
        <f t="shared" si="20"/>
        <v>9.5000000000000001E-2</v>
      </c>
      <c r="E174" s="4">
        <f t="shared" si="16"/>
        <v>16770.667583965056</v>
      </c>
      <c r="F174" s="4"/>
      <c r="G174" s="4">
        <f t="shared" si="17"/>
        <v>31700.15418337789</v>
      </c>
      <c r="H174" s="4">
        <f t="shared" si="18"/>
        <v>2086699.9616858922</v>
      </c>
      <c r="I174" s="2"/>
    </row>
    <row r="175" spans="1:9" x14ac:dyDescent="0.3">
      <c r="A175" s="9">
        <f t="shared" si="21"/>
        <v>50161</v>
      </c>
      <c r="B175" s="2">
        <v>154</v>
      </c>
      <c r="C175" s="4">
        <f t="shared" si="19"/>
        <v>48470.821767342946</v>
      </c>
      <c r="D175" s="6">
        <f t="shared" si="20"/>
        <v>9.5000000000000001E-2</v>
      </c>
      <c r="E175" s="4">
        <f t="shared" si="16"/>
        <v>16519.708030013313</v>
      </c>
      <c r="F175" s="4"/>
      <c r="G175" s="4">
        <f t="shared" si="17"/>
        <v>31951.113737329633</v>
      </c>
      <c r="H175" s="4">
        <f t="shared" si="18"/>
        <v>2054748.8479485626</v>
      </c>
      <c r="I175" s="2"/>
    </row>
    <row r="176" spans="1:9" x14ac:dyDescent="0.3">
      <c r="A176" s="9">
        <f t="shared" si="21"/>
        <v>50192</v>
      </c>
      <c r="B176" s="2">
        <v>155</v>
      </c>
      <c r="C176" s="4">
        <f t="shared" si="19"/>
        <v>48470.821767342946</v>
      </c>
      <c r="D176" s="6">
        <f t="shared" si="20"/>
        <v>9.5000000000000001E-2</v>
      </c>
      <c r="E176" s="4">
        <f t="shared" si="16"/>
        <v>16266.761712926122</v>
      </c>
      <c r="F176" s="4"/>
      <c r="G176" s="4">
        <f t="shared" si="17"/>
        <v>32204.060054416826</v>
      </c>
      <c r="H176" s="4">
        <f t="shared" si="18"/>
        <v>2022544.7878941458</v>
      </c>
      <c r="I176" s="2"/>
    </row>
    <row r="177" spans="1:9" x14ac:dyDescent="0.3">
      <c r="A177" s="9">
        <f t="shared" si="21"/>
        <v>50222</v>
      </c>
      <c r="B177" s="2">
        <v>156</v>
      </c>
      <c r="C177" s="4">
        <f t="shared" si="19"/>
        <v>48470.821767342946</v>
      </c>
      <c r="D177" s="6">
        <f t="shared" si="20"/>
        <v>9.5000000000000001E-2</v>
      </c>
      <c r="E177" s="4">
        <f t="shared" si="16"/>
        <v>16011.812904161989</v>
      </c>
      <c r="F177" s="4"/>
      <c r="G177" s="4">
        <f t="shared" si="17"/>
        <v>32459.008863180956</v>
      </c>
      <c r="H177" s="4">
        <f t="shared" si="18"/>
        <v>1990085.7790309649</v>
      </c>
      <c r="I177" s="2"/>
    </row>
    <row r="178" spans="1:9" x14ac:dyDescent="0.3">
      <c r="A178" s="9">
        <f t="shared" si="21"/>
        <v>50253</v>
      </c>
      <c r="B178" s="2">
        <v>157</v>
      </c>
      <c r="C178" s="4">
        <f t="shared" si="19"/>
        <v>48470.821767342946</v>
      </c>
      <c r="D178" s="6">
        <f t="shared" si="20"/>
        <v>9.5000000000000001E-2</v>
      </c>
      <c r="E178" s="4">
        <f t="shared" si="16"/>
        <v>15754.845750661807</v>
      </c>
      <c r="F178" s="4"/>
      <c r="G178" s="4">
        <f t="shared" si="17"/>
        <v>32715.976016681139</v>
      </c>
      <c r="H178" s="4">
        <f t="shared" si="18"/>
        <v>1957369.8030142838</v>
      </c>
      <c r="I178" s="2"/>
    </row>
    <row r="179" spans="1:9" x14ac:dyDescent="0.3">
      <c r="A179" s="9">
        <f t="shared" si="21"/>
        <v>50284</v>
      </c>
      <c r="B179" s="2">
        <v>158</v>
      </c>
      <c r="C179" s="4">
        <f t="shared" si="19"/>
        <v>48470.821767342946</v>
      </c>
      <c r="D179" s="6">
        <f t="shared" si="20"/>
        <v>9.5000000000000001E-2</v>
      </c>
      <c r="E179" s="4">
        <f t="shared" si="16"/>
        <v>15495.844273863082</v>
      </c>
      <c r="F179" s="4"/>
      <c r="G179" s="4">
        <f t="shared" si="17"/>
        <v>32974.977493479862</v>
      </c>
      <c r="H179" s="4">
        <f t="shared" si="18"/>
        <v>1924394.8255208039</v>
      </c>
      <c r="I179" s="2"/>
    </row>
    <row r="180" spans="1:9" x14ac:dyDescent="0.3">
      <c r="A180" s="9">
        <f t="shared" si="21"/>
        <v>50314</v>
      </c>
      <c r="B180" s="2">
        <v>159</v>
      </c>
      <c r="C180" s="4">
        <f t="shared" si="19"/>
        <v>48470.821767342946</v>
      </c>
      <c r="D180" s="6">
        <f t="shared" si="20"/>
        <v>9.5000000000000001E-2</v>
      </c>
      <c r="E180" s="4">
        <f t="shared" si="16"/>
        <v>15234.792368706365</v>
      </c>
      <c r="F180" s="4"/>
      <c r="G180" s="4">
        <f t="shared" si="17"/>
        <v>33236.02939863658</v>
      </c>
      <c r="H180" s="4">
        <f t="shared" si="18"/>
        <v>1891158.7961221673</v>
      </c>
      <c r="I180" s="2"/>
    </row>
    <row r="181" spans="1:9" x14ac:dyDescent="0.3">
      <c r="A181" s="9">
        <f t="shared" si="21"/>
        <v>50345</v>
      </c>
      <c r="B181" s="2">
        <v>160</v>
      </c>
      <c r="C181" s="4">
        <f t="shared" si="19"/>
        <v>48470.821767342946</v>
      </c>
      <c r="D181" s="6">
        <f t="shared" si="20"/>
        <v>9.5000000000000001E-2</v>
      </c>
      <c r="E181" s="4">
        <f t="shared" si="16"/>
        <v>14971.673802633826</v>
      </c>
      <c r="F181" s="4"/>
      <c r="G181" s="4">
        <f t="shared" si="17"/>
        <v>33499.147964709118</v>
      </c>
      <c r="H181" s="4">
        <f t="shared" si="18"/>
        <v>1857659.6481574581</v>
      </c>
      <c r="I181" s="2"/>
    </row>
    <row r="182" spans="1:9" x14ac:dyDescent="0.3">
      <c r="A182" s="9">
        <f t="shared" si="21"/>
        <v>50375</v>
      </c>
      <c r="B182" s="2">
        <v>161</v>
      </c>
      <c r="C182" s="4">
        <f t="shared" si="19"/>
        <v>48470.821767342946</v>
      </c>
      <c r="D182" s="6">
        <f t="shared" si="20"/>
        <v>9.5000000000000001E-2</v>
      </c>
      <c r="E182" s="4">
        <f t="shared" si="16"/>
        <v>14706.472214579877</v>
      </c>
      <c r="F182" s="4"/>
      <c r="G182" s="4">
        <f t="shared" ref="G182:G214" si="22">C182-E182</f>
        <v>33764.349552763073</v>
      </c>
      <c r="H182" s="4">
        <f t="shared" ref="H182:H200" si="23">IF(H181-G182-I182&lt;0,0,H181-G182-I182)</f>
        <v>1823895.2986046949</v>
      </c>
      <c r="I182" s="2"/>
    </row>
    <row r="183" spans="1:9" x14ac:dyDescent="0.3">
      <c r="A183" s="9">
        <f t="shared" si="21"/>
        <v>50406</v>
      </c>
      <c r="B183" s="2">
        <v>162</v>
      </c>
      <c r="C183" s="4">
        <f t="shared" si="19"/>
        <v>48470.821767342946</v>
      </c>
      <c r="D183" s="6">
        <f t="shared" si="20"/>
        <v>9.5000000000000001E-2</v>
      </c>
      <c r="E183" s="4">
        <f t="shared" si="16"/>
        <v>14439.171113953837</v>
      </c>
      <c r="F183" s="4"/>
      <c r="G183" s="4">
        <f t="shared" si="22"/>
        <v>34031.650653389108</v>
      </c>
      <c r="H183" s="4">
        <f t="shared" si="23"/>
        <v>1789863.6479513058</v>
      </c>
      <c r="I183" s="2"/>
    </row>
    <row r="184" spans="1:9" x14ac:dyDescent="0.3">
      <c r="A184" s="9">
        <f t="shared" si="21"/>
        <v>50437</v>
      </c>
      <c r="B184" s="2">
        <v>163</v>
      </c>
      <c r="C184" s="4">
        <f t="shared" si="19"/>
        <v>48470.821767342946</v>
      </c>
      <c r="D184" s="6">
        <f t="shared" si="20"/>
        <v>9.5000000000000001E-2</v>
      </c>
      <c r="E184" s="4">
        <f t="shared" si="16"/>
        <v>14169.753879614505</v>
      </c>
      <c r="F184" s="4"/>
      <c r="G184" s="4">
        <f t="shared" si="22"/>
        <v>34301.067887728437</v>
      </c>
      <c r="H184" s="4">
        <f t="shared" si="23"/>
        <v>1755562.5800635775</v>
      </c>
      <c r="I184" s="2"/>
    </row>
    <row r="185" spans="1:9" x14ac:dyDescent="0.3">
      <c r="A185" s="9">
        <f t="shared" si="21"/>
        <v>50465</v>
      </c>
      <c r="B185" s="2">
        <v>164</v>
      </c>
      <c r="C185" s="4">
        <f t="shared" si="19"/>
        <v>48470.821767342946</v>
      </c>
      <c r="D185" s="6">
        <f t="shared" si="20"/>
        <v>9.5000000000000001E-2</v>
      </c>
      <c r="E185" s="4">
        <f t="shared" si="16"/>
        <v>13898.203758836657</v>
      </c>
      <c r="F185" s="4"/>
      <c r="G185" s="4">
        <f t="shared" si="22"/>
        <v>34572.618008506288</v>
      </c>
      <c r="H185" s="4">
        <f t="shared" si="23"/>
        <v>1720989.9620550713</v>
      </c>
      <c r="I185" s="2"/>
    </row>
    <row r="186" spans="1:9" x14ac:dyDescent="0.3">
      <c r="A186" s="9">
        <f t="shared" si="21"/>
        <v>50496</v>
      </c>
      <c r="B186" s="2">
        <v>165</v>
      </c>
      <c r="C186" s="4">
        <f t="shared" si="19"/>
        <v>48470.821767342946</v>
      </c>
      <c r="D186" s="6">
        <f t="shared" si="20"/>
        <v>9.5000000000000001E-2</v>
      </c>
      <c r="E186" s="4">
        <f t="shared" si="16"/>
        <v>13624.503866269315</v>
      </c>
      <c r="F186" s="4"/>
      <c r="G186" s="4">
        <f t="shared" si="22"/>
        <v>34846.317901073635</v>
      </c>
      <c r="H186" s="4">
        <f t="shared" si="23"/>
        <v>1686143.6441539975</v>
      </c>
      <c r="I186" s="2"/>
    </row>
    <row r="187" spans="1:9" x14ac:dyDescent="0.3">
      <c r="A187" s="9">
        <f t="shared" si="21"/>
        <v>50526</v>
      </c>
      <c r="B187" s="2">
        <v>166</v>
      </c>
      <c r="C187" s="4">
        <f t="shared" si="19"/>
        <v>48470.821767342946</v>
      </c>
      <c r="D187" s="6">
        <f t="shared" si="20"/>
        <v>9.5000000000000001E-2</v>
      </c>
      <c r="E187" s="4">
        <f t="shared" si="16"/>
        <v>13348.637182885815</v>
      </c>
      <c r="F187" s="4"/>
      <c r="G187" s="4">
        <f t="shared" si="22"/>
        <v>35122.184584457129</v>
      </c>
      <c r="H187" s="4">
        <f t="shared" si="23"/>
        <v>1651021.4595695403</v>
      </c>
      <c r="I187" s="2"/>
    </row>
    <row r="188" spans="1:9" x14ac:dyDescent="0.3">
      <c r="A188" s="9">
        <f t="shared" si="21"/>
        <v>50557</v>
      </c>
      <c r="B188" s="2">
        <v>167</v>
      </c>
      <c r="C188" s="4">
        <f t="shared" si="19"/>
        <v>48470.821767342946</v>
      </c>
      <c r="D188" s="6">
        <f t="shared" si="20"/>
        <v>9.5000000000000001E-2</v>
      </c>
      <c r="E188" s="4">
        <f t="shared" si="16"/>
        <v>13070.586554925529</v>
      </c>
      <c r="F188" s="4"/>
      <c r="G188" s="4">
        <f t="shared" si="22"/>
        <v>35400.235212417421</v>
      </c>
      <c r="H188" s="4">
        <f t="shared" si="23"/>
        <v>1615621.224357123</v>
      </c>
      <c r="I188" s="2"/>
    </row>
    <row r="189" spans="1:9" x14ac:dyDescent="0.3">
      <c r="A189" s="9">
        <f t="shared" si="21"/>
        <v>50587</v>
      </c>
      <c r="B189" s="2">
        <v>168</v>
      </c>
      <c r="C189" s="4">
        <f t="shared" si="19"/>
        <v>48470.821767342946</v>
      </c>
      <c r="D189" s="6">
        <f t="shared" si="20"/>
        <v>9.5000000000000001E-2</v>
      </c>
      <c r="E189" s="4">
        <f t="shared" si="16"/>
        <v>12790.334692827226</v>
      </c>
      <c r="F189" s="4"/>
      <c r="G189" s="4">
        <f t="shared" si="22"/>
        <v>35680.487074515724</v>
      </c>
      <c r="H189" s="4">
        <f t="shared" si="23"/>
        <v>1579940.7372826072</v>
      </c>
      <c r="I189" s="2"/>
    </row>
    <row r="190" spans="1:9" x14ac:dyDescent="0.3">
      <c r="A190" s="9">
        <f t="shared" si="21"/>
        <v>50618</v>
      </c>
      <c r="B190" s="2">
        <v>169</v>
      </c>
      <c r="C190" s="4">
        <f t="shared" si="19"/>
        <v>48470.821767342946</v>
      </c>
      <c r="D190" s="6">
        <f t="shared" si="20"/>
        <v>9.5000000000000001E-2</v>
      </c>
      <c r="E190" s="4">
        <f t="shared" si="16"/>
        <v>12507.864170153975</v>
      </c>
      <c r="F190" s="4"/>
      <c r="G190" s="4">
        <f t="shared" si="22"/>
        <v>35962.957597188972</v>
      </c>
      <c r="H190" s="4">
        <f t="shared" si="23"/>
        <v>1543977.7796854184</v>
      </c>
      <c r="I190" s="2"/>
    </row>
    <row r="191" spans="1:9" x14ac:dyDescent="0.3">
      <c r="A191" s="9">
        <f t="shared" si="21"/>
        <v>50649</v>
      </c>
      <c r="B191" s="2">
        <v>170</v>
      </c>
      <c r="C191" s="4">
        <f t="shared" si="19"/>
        <v>48470.821767342946</v>
      </c>
      <c r="D191" s="6">
        <f t="shared" si="20"/>
        <v>9.5000000000000001E-2</v>
      </c>
      <c r="E191" s="4">
        <f t="shared" si="16"/>
        <v>12223.157422509563</v>
      </c>
      <c r="F191" s="4"/>
      <c r="G191" s="4">
        <f t="shared" si="22"/>
        <v>36247.664344833385</v>
      </c>
      <c r="H191" s="4">
        <f t="shared" si="23"/>
        <v>1507730.1153405849</v>
      </c>
      <c r="I191" s="2"/>
    </row>
    <row r="192" spans="1:9" x14ac:dyDescent="0.3">
      <c r="A192" s="9">
        <f t="shared" si="21"/>
        <v>50679</v>
      </c>
      <c r="B192" s="2">
        <v>171</v>
      </c>
      <c r="C192" s="4">
        <f t="shared" si="19"/>
        <v>48470.821767342946</v>
      </c>
      <c r="D192" s="6">
        <f t="shared" si="20"/>
        <v>9.5000000000000001E-2</v>
      </c>
      <c r="E192" s="4">
        <f t="shared" si="16"/>
        <v>11936.196746446298</v>
      </c>
      <c r="F192" s="4"/>
      <c r="G192" s="4">
        <f t="shared" si="22"/>
        <v>36534.625020896652</v>
      </c>
      <c r="H192" s="4">
        <f t="shared" si="23"/>
        <v>1471195.4903196883</v>
      </c>
      <c r="I192" s="2"/>
    </row>
    <row r="193" spans="1:9" x14ac:dyDescent="0.3">
      <c r="A193" s="9">
        <f t="shared" si="21"/>
        <v>50710</v>
      </c>
      <c r="B193" s="2">
        <v>172</v>
      </c>
      <c r="C193" s="4">
        <f t="shared" si="19"/>
        <v>48470.821767342946</v>
      </c>
      <c r="D193" s="6">
        <f t="shared" si="20"/>
        <v>9.5000000000000001E-2</v>
      </c>
      <c r="E193" s="4">
        <f t="shared" si="16"/>
        <v>11646.964298364201</v>
      </c>
      <c r="F193" s="4"/>
      <c r="G193" s="4">
        <f t="shared" si="22"/>
        <v>36823.857468978749</v>
      </c>
      <c r="H193" s="4">
        <f t="shared" si="23"/>
        <v>1434371.6328507096</v>
      </c>
      <c r="I193" s="2"/>
    </row>
    <row r="194" spans="1:9" x14ac:dyDescent="0.3">
      <c r="A194" s="9">
        <f t="shared" si="21"/>
        <v>50740</v>
      </c>
      <c r="B194" s="2">
        <v>173</v>
      </c>
      <c r="C194" s="4">
        <f t="shared" si="19"/>
        <v>48470.821767342946</v>
      </c>
      <c r="D194" s="6">
        <f t="shared" si="20"/>
        <v>9.5000000000000001E-2</v>
      </c>
      <c r="E194" s="4">
        <f t="shared" si="16"/>
        <v>11355.442093401452</v>
      </c>
      <c r="F194" s="4"/>
      <c r="G194" s="4">
        <f t="shared" si="22"/>
        <v>37115.379673941497</v>
      </c>
      <c r="H194" s="4">
        <f t="shared" si="23"/>
        <v>1397256.2531767681</v>
      </c>
      <c r="I194" s="2"/>
    </row>
    <row r="195" spans="1:9" x14ac:dyDescent="0.3">
      <c r="A195" s="9">
        <f t="shared" si="21"/>
        <v>50771</v>
      </c>
      <c r="B195" s="2">
        <v>174</v>
      </c>
      <c r="C195" s="4">
        <f t="shared" si="19"/>
        <v>48470.821767342946</v>
      </c>
      <c r="D195" s="6">
        <f t="shared" si="20"/>
        <v>9.5000000000000001E-2</v>
      </c>
      <c r="E195" s="4">
        <f t="shared" si="16"/>
        <v>11061.612004316081</v>
      </c>
      <c r="F195" s="4"/>
      <c r="G195" s="4">
        <f t="shared" si="22"/>
        <v>37409.209763026869</v>
      </c>
      <c r="H195" s="4">
        <f t="shared" si="23"/>
        <v>1359847.0434137413</v>
      </c>
      <c r="I195" s="2"/>
    </row>
    <row r="196" spans="1:9" x14ac:dyDescent="0.3">
      <c r="A196" s="9">
        <f t="shared" si="21"/>
        <v>50802</v>
      </c>
      <c r="B196" s="2">
        <v>175</v>
      </c>
      <c r="C196" s="4">
        <f t="shared" si="19"/>
        <v>48470.821767342946</v>
      </c>
      <c r="D196" s="6">
        <f t="shared" si="20"/>
        <v>9.5000000000000001E-2</v>
      </c>
      <c r="E196" s="4">
        <f t="shared" si="16"/>
        <v>10765.455760358785</v>
      </c>
      <c r="F196" s="4"/>
      <c r="G196" s="4">
        <f t="shared" si="22"/>
        <v>37705.366006984157</v>
      </c>
      <c r="H196" s="4">
        <f t="shared" si="23"/>
        <v>1322141.6774067571</v>
      </c>
      <c r="I196" s="2"/>
    </row>
    <row r="197" spans="1:9" x14ac:dyDescent="0.3">
      <c r="A197" s="9">
        <f t="shared" si="21"/>
        <v>50830</v>
      </c>
      <c r="B197" s="2">
        <v>176</v>
      </c>
      <c r="C197" s="4">
        <f t="shared" si="19"/>
        <v>48470.821767342946</v>
      </c>
      <c r="D197" s="6">
        <f t="shared" si="20"/>
        <v>9.5000000000000001E-2</v>
      </c>
      <c r="E197" s="4">
        <f t="shared" si="16"/>
        <v>10466.954946136828</v>
      </c>
      <c r="F197" s="4"/>
      <c r="G197" s="4">
        <f t="shared" si="22"/>
        <v>38003.866821206117</v>
      </c>
      <c r="H197" s="4">
        <f t="shared" si="23"/>
        <v>1284137.810585551</v>
      </c>
      <c r="I197" s="2"/>
    </row>
    <row r="198" spans="1:9" x14ac:dyDescent="0.3">
      <c r="A198" s="9">
        <f t="shared" si="21"/>
        <v>50861</v>
      </c>
      <c r="B198" s="2">
        <v>177</v>
      </c>
      <c r="C198" s="4">
        <f t="shared" si="19"/>
        <v>48470.821767342946</v>
      </c>
      <c r="D198" s="6">
        <f t="shared" si="20"/>
        <v>9.5000000000000001E-2</v>
      </c>
      <c r="E198" s="4">
        <f t="shared" si="16"/>
        <v>10166.091000468947</v>
      </c>
      <c r="F198" s="4"/>
      <c r="G198" s="4">
        <f t="shared" si="22"/>
        <v>38304.730766873996</v>
      </c>
      <c r="H198" s="4">
        <f t="shared" si="23"/>
        <v>1245833.0798186769</v>
      </c>
      <c r="I198" s="2"/>
    </row>
    <row r="199" spans="1:9" x14ac:dyDescent="0.3">
      <c r="A199" s="9">
        <f t="shared" si="21"/>
        <v>50891</v>
      </c>
      <c r="B199" s="2">
        <v>178</v>
      </c>
      <c r="C199" s="4">
        <f t="shared" si="19"/>
        <v>48470.821767342946</v>
      </c>
      <c r="D199" s="6">
        <f t="shared" si="20"/>
        <v>9.5000000000000001E-2</v>
      </c>
      <c r="E199" s="4">
        <f t="shared" si="16"/>
        <v>9862.8452152311929</v>
      </c>
      <c r="F199" s="4"/>
      <c r="G199" s="4">
        <f t="shared" si="22"/>
        <v>38607.976552111752</v>
      </c>
      <c r="H199" s="4">
        <f t="shared" si="23"/>
        <v>1207225.1032665651</v>
      </c>
      <c r="I199" s="2"/>
    </row>
    <row r="200" spans="1:9" x14ac:dyDescent="0.3">
      <c r="A200" s="9">
        <f t="shared" si="21"/>
        <v>50922</v>
      </c>
      <c r="B200" s="2">
        <v>179</v>
      </c>
      <c r="C200" s="4">
        <f t="shared" si="19"/>
        <v>48470.821767342946</v>
      </c>
      <c r="D200" s="6">
        <f t="shared" si="20"/>
        <v>9.5000000000000001E-2</v>
      </c>
      <c r="E200" s="4">
        <f t="shared" si="16"/>
        <v>9557.1987341936419</v>
      </c>
      <c r="F200" s="4"/>
      <c r="G200" s="4">
        <f t="shared" si="22"/>
        <v>38913.623033149306</v>
      </c>
      <c r="H200" s="4">
        <f t="shared" si="23"/>
        <v>1168311.4802334157</v>
      </c>
      <c r="I200" s="2"/>
    </row>
    <row r="201" spans="1:9" x14ac:dyDescent="0.3">
      <c r="A201" s="9">
        <f t="shared" si="21"/>
        <v>50952</v>
      </c>
      <c r="B201" s="2">
        <v>180</v>
      </c>
      <c r="C201" s="4">
        <f t="shared" si="19"/>
        <v>48470.821767342946</v>
      </c>
      <c r="D201" s="6">
        <f t="shared" si="20"/>
        <v>9.5000000000000001E-2</v>
      </c>
      <c r="E201" s="4">
        <f t="shared" si="16"/>
        <v>9249.1325518478752</v>
      </c>
      <c r="F201" s="4"/>
      <c r="G201" s="4">
        <f t="shared" si="22"/>
        <v>39221.689215495069</v>
      </c>
      <c r="H201" s="4">
        <f>IF(H200-G201-I201&lt;=0,0,H200-G201-I201)</f>
        <v>1129089.7910179207</v>
      </c>
      <c r="I201" s="2"/>
    </row>
    <row r="202" spans="1:9" x14ac:dyDescent="0.3">
      <c r="A202" s="9">
        <f t="shared" si="21"/>
        <v>50983</v>
      </c>
      <c r="B202" s="2">
        <v>181</v>
      </c>
      <c r="C202" s="4">
        <f t="shared" si="19"/>
        <v>48470.821767342946</v>
      </c>
      <c r="D202" s="6">
        <f t="shared" si="20"/>
        <v>9.5000000000000001E-2</v>
      </c>
      <c r="E202" s="4">
        <f t="shared" si="16"/>
        <v>8938.6275122252064</v>
      </c>
      <c r="F202" s="4"/>
      <c r="G202" s="4">
        <f t="shared" si="22"/>
        <v>39532.194255117742</v>
      </c>
      <c r="H202" s="4">
        <f t="shared" ref="H202:H233" si="24">IF(H201-G202-I202&lt;0,0,H201-G202-I202)</f>
        <v>1089557.5967628029</v>
      </c>
      <c r="I202" s="2"/>
    </row>
    <row r="203" spans="1:9" x14ac:dyDescent="0.3">
      <c r="A203" s="9">
        <f t="shared" si="21"/>
        <v>51014</v>
      </c>
      <c r="B203" s="2">
        <v>182</v>
      </c>
      <c r="C203" s="4">
        <f t="shared" si="19"/>
        <v>48470.821767342946</v>
      </c>
      <c r="D203" s="6">
        <f t="shared" si="20"/>
        <v>9.5000000000000001E-2</v>
      </c>
      <c r="E203" s="4">
        <f t="shared" si="16"/>
        <v>8625.6643077055232</v>
      </c>
      <c r="F203" s="4"/>
      <c r="G203" s="4">
        <f t="shared" si="22"/>
        <v>39845.157459637427</v>
      </c>
      <c r="H203" s="4">
        <f t="shared" si="24"/>
        <v>1049712.4393031655</v>
      </c>
      <c r="I203" s="2"/>
    </row>
    <row r="204" spans="1:9" x14ac:dyDescent="0.3">
      <c r="A204" s="9">
        <f t="shared" si="21"/>
        <v>51044</v>
      </c>
      <c r="B204" s="2">
        <v>183</v>
      </c>
      <c r="C204" s="4">
        <f t="shared" si="19"/>
        <v>48470.821767342946</v>
      </c>
      <c r="D204" s="6">
        <f t="shared" si="20"/>
        <v>9.5000000000000001E-2</v>
      </c>
      <c r="E204" s="4">
        <f t="shared" si="16"/>
        <v>8310.2234778167276</v>
      </c>
      <c r="F204" s="4"/>
      <c r="G204" s="4">
        <f t="shared" si="22"/>
        <v>40160.59828952622</v>
      </c>
      <c r="H204" s="4">
        <f t="shared" si="24"/>
        <v>1009551.8410136394</v>
      </c>
      <c r="I204" s="2"/>
    </row>
    <row r="205" spans="1:9" x14ac:dyDescent="0.3">
      <c r="A205" s="9">
        <f t="shared" si="21"/>
        <v>51075</v>
      </c>
      <c r="B205" s="2">
        <v>184</v>
      </c>
      <c r="C205" s="4">
        <f t="shared" si="19"/>
        <v>48470.821767342946</v>
      </c>
      <c r="D205" s="6">
        <f t="shared" si="20"/>
        <v>9.5000000000000001E-2</v>
      </c>
      <c r="E205" s="4">
        <f t="shared" si="16"/>
        <v>7992.2854080246452</v>
      </c>
      <c r="F205" s="4"/>
      <c r="G205" s="4">
        <f t="shared" si="22"/>
        <v>40478.536359318299</v>
      </c>
      <c r="H205" s="4">
        <f t="shared" si="24"/>
        <v>969073.30465432105</v>
      </c>
      <c r="I205" s="2"/>
    </row>
    <row r="206" spans="1:9" x14ac:dyDescent="0.3">
      <c r="A206" s="9">
        <f t="shared" si="21"/>
        <v>51105</v>
      </c>
      <c r="B206" s="2">
        <v>185</v>
      </c>
      <c r="C206" s="4">
        <f t="shared" si="19"/>
        <v>48470.821767342946</v>
      </c>
      <c r="D206" s="6">
        <f t="shared" si="20"/>
        <v>9.5000000000000001E-2</v>
      </c>
      <c r="E206" s="4">
        <f t="shared" si="16"/>
        <v>7671.8303285133752</v>
      </c>
      <c r="F206" s="4"/>
      <c r="G206" s="4">
        <f t="shared" si="22"/>
        <v>40798.991438829573</v>
      </c>
      <c r="H206" s="4">
        <f t="shared" si="24"/>
        <v>928274.31321549148</v>
      </c>
      <c r="I206" s="2"/>
    </row>
    <row r="207" spans="1:9" x14ac:dyDescent="0.3">
      <c r="A207" s="9">
        <f t="shared" si="21"/>
        <v>51136</v>
      </c>
      <c r="B207" s="2">
        <v>186</v>
      </c>
      <c r="C207" s="4">
        <f t="shared" si="19"/>
        <v>48470.821767342946</v>
      </c>
      <c r="D207" s="6">
        <f t="shared" si="20"/>
        <v>9.5000000000000001E-2</v>
      </c>
      <c r="E207" s="4">
        <f t="shared" si="16"/>
        <v>7348.8383129559752</v>
      </c>
      <c r="F207" s="4"/>
      <c r="G207" s="4">
        <f t="shared" si="22"/>
        <v>41121.983454386973</v>
      </c>
      <c r="H207" s="4">
        <f t="shared" si="24"/>
        <v>887152.32976110454</v>
      </c>
      <c r="I207" s="2"/>
    </row>
    <row r="208" spans="1:9" x14ac:dyDescent="0.3">
      <c r="A208" s="9">
        <f t="shared" si="21"/>
        <v>51167</v>
      </c>
      <c r="B208" s="2">
        <v>187</v>
      </c>
      <c r="C208" s="4">
        <f t="shared" si="19"/>
        <v>48470.821767342946</v>
      </c>
      <c r="D208" s="6">
        <f t="shared" si="20"/>
        <v>9.5000000000000001E-2</v>
      </c>
      <c r="E208" s="4">
        <f t="shared" si="16"/>
        <v>7023.2892772754112</v>
      </c>
      <c r="F208" s="4"/>
      <c r="G208" s="4">
        <f t="shared" si="22"/>
        <v>41447.532490067533</v>
      </c>
      <c r="H208" s="4">
        <f t="shared" si="24"/>
        <v>845704.79727103701</v>
      </c>
      <c r="I208" s="2"/>
    </row>
    <row r="209" spans="1:9" x14ac:dyDescent="0.3">
      <c r="A209" s="9">
        <f t="shared" si="21"/>
        <v>51196</v>
      </c>
      <c r="B209" s="2">
        <v>188</v>
      </c>
      <c r="C209" s="4">
        <f t="shared" si="19"/>
        <v>48470.821767342946</v>
      </c>
      <c r="D209" s="6">
        <f t="shared" si="20"/>
        <v>9.5000000000000001E-2</v>
      </c>
      <c r="E209" s="4">
        <f t="shared" si="16"/>
        <v>6695.1629783957105</v>
      </c>
      <c r="F209" s="4"/>
      <c r="G209" s="4">
        <f t="shared" si="22"/>
        <v>41775.658788947236</v>
      </c>
      <c r="H209" s="4">
        <f t="shared" si="24"/>
        <v>803929.13848208974</v>
      </c>
      <c r="I209" s="2"/>
    </row>
    <row r="210" spans="1:9" x14ac:dyDescent="0.3">
      <c r="A210" s="9">
        <f t="shared" si="21"/>
        <v>51227</v>
      </c>
      <c r="B210" s="2">
        <v>189</v>
      </c>
      <c r="C210" s="4">
        <f t="shared" si="19"/>
        <v>48470.821767342946</v>
      </c>
      <c r="D210" s="6">
        <f t="shared" si="20"/>
        <v>9.5000000000000001E-2</v>
      </c>
      <c r="E210" s="4">
        <f t="shared" si="16"/>
        <v>6364.4390129832109</v>
      </c>
      <c r="F210" s="4"/>
      <c r="G210" s="4">
        <f t="shared" si="22"/>
        <v>42106.382754359736</v>
      </c>
      <c r="H210" s="4">
        <f t="shared" si="24"/>
        <v>761822.75572772999</v>
      </c>
      <c r="I210" s="2"/>
    </row>
    <row r="211" spans="1:9" x14ac:dyDescent="0.3">
      <c r="A211" s="9">
        <f t="shared" si="21"/>
        <v>51257</v>
      </c>
      <c r="B211" s="2">
        <v>190</v>
      </c>
      <c r="C211" s="4">
        <f t="shared" si="19"/>
        <v>48470.821767342946</v>
      </c>
      <c r="D211" s="6">
        <f t="shared" si="20"/>
        <v>9.5000000000000001E-2</v>
      </c>
      <c r="E211" s="4">
        <f t="shared" si="16"/>
        <v>6031.0968161778628</v>
      </c>
      <c r="F211" s="4"/>
      <c r="G211" s="4">
        <f t="shared" si="22"/>
        <v>42439.724951165081</v>
      </c>
      <c r="H211" s="4">
        <f t="shared" si="24"/>
        <v>719383.03077656496</v>
      </c>
      <c r="I211" s="2"/>
    </row>
    <row r="212" spans="1:9" x14ac:dyDescent="0.3">
      <c r="A212" s="9">
        <f t="shared" si="21"/>
        <v>51288</v>
      </c>
      <c r="B212" s="2">
        <v>191</v>
      </c>
      <c r="C212" s="4">
        <f t="shared" si="19"/>
        <v>48470.821767342946</v>
      </c>
      <c r="D212" s="6">
        <f t="shared" si="20"/>
        <v>9.5000000000000001E-2</v>
      </c>
      <c r="E212" s="4">
        <f t="shared" si="16"/>
        <v>5695.1156603144727</v>
      </c>
      <c r="F212" s="4"/>
      <c r="G212" s="4">
        <f t="shared" si="22"/>
        <v>42775.706107028476</v>
      </c>
      <c r="H212" s="4">
        <f t="shared" si="24"/>
        <v>676607.32466953644</v>
      </c>
      <c r="I212" s="2"/>
    </row>
    <row r="213" spans="1:9" x14ac:dyDescent="0.3">
      <c r="A213" s="9">
        <f t="shared" si="21"/>
        <v>51318</v>
      </c>
      <c r="B213" s="2">
        <v>192</v>
      </c>
      <c r="C213" s="4">
        <f t="shared" si="19"/>
        <v>48470.821767342946</v>
      </c>
      <c r="D213" s="6">
        <f t="shared" si="20"/>
        <v>9.5000000000000001E-2</v>
      </c>
      <c r="E213" s="4">
        <f t="shared" si="16"/>
        <v>5356.4746536338307</v>
      </c>
      <c r="F213" s="4"/>
      <c r="G213" s="4">
        <f t="shared" si="22"/>
        <v>43114.347113709118</v>
      </c>
      <c r="H213" s="4">
        <f t="shared" si="24"/>
        <v>633492.97755582735</v>
      </c>
      <c r="I213" s="2"/>
    </row>
    <row r="214" spans="1:9" x14ac:dyDescent="0.3">
      <c r="A214" s="9">
        <f t="shared" si="21"/>
        <v>51349</v>
      </c>
      <c r="B214" s="2">
        <v>193</v>
      </c>
      <c r="C214" s="4">
        <f t="shared" si="19"/>
        <v>48470.821767342946</v>
      </c>
      <c r="D214" s="6">
        <f t="shared" si="20"/>
        <v>9.5000000000000001E-2</v>
      </c>
      <c r="E214" s="4">
        <f t="shared" ref="E214:E261" si="25">H213*(D214/12)</f>
        <v>5015.1527389836338</v>
      </c>
      <c r="F214" s="4"/>
      <c r="G214" s="4">
        <f t="shared" si="22"/>
        <v>43455.669028359313</v>
      </c>
      <c r="H214" s="4">
        <f t="shared" si="24"/>
        <v>590037.30852746801</v>
      </c>
      <c r="I214" s="2"/>
    </row>
    <row r="215" spans="1:9" x14ac:dyDescent="0.3">
      <c r="A215" s="9">
        <f t="shared" si="21"/>
        <v>51380</v>
      </c>
      <c r="B215" s="2">
        <v>194</v>
      </c>
      <c r="C215" s="4">
        <f t="shared" ref="C215:C261" si="26">IF(H214=0,0,$C$18)</f>
        <v>48470.821767342946</v>
      </c>
      <c r="D215" s="6">
        <f t="shared" ref="D215:D261" si="27">VLOOKUP(B215,$D$3:$E$17,2)</f>
        <v>9.5000000000000001E-2</v>
      </c>
      <c r="E215" s="4">
        <f t="shared" si="25"/>
        <v>4671.1286925091217</v>
      </c>
      <c r="F215" s="4"/>
      <c r="G215" s="4">
        <f t="shared" ref="G215:G261" si="28">C215-E215</f>
        <v>43799.693074833827</v>
      </c>
      <c r="H215" s="4">
        <f t="shared" si="24"/>
        <v>546237.61545263417</v>
      </c>
      <c r="I215" s="2"/>
    </row>
    <row r="216" spans="1:9" x14ac:dyDescent="0.3">
      <c r="A216" s="9">
        <f t="shared" ref="A216:A261" si="29">EDATE(A215,1)</f>
        <v>51410</v>
      </c>
      <c r="B216" s="2">
        <v>195</v>
      </c>
      <c r="C216" s="4">
        <f t="shared" si="26"/>
        <v>48470.821767342946</v>
      </c>
      <c r="D216" s="6">
        <f t="shared" si="27"/>
        <v>9.5000000000000001E-2</v>
      </c>
      <c r="E216" s="4">
        <f t="shared" si="25"/>
        <v>4324.3811223333541</v>
      </c>
      <c r="F216" s="4"/>
      <c r="G216" s="4">
        <f t="shared" si="28"/>
        <v>44146.440645009592</v>
      </c>
      <c r="H216" s="4">
        <f t="shared" si="24"/>
        <v>502091.1748076246</v>
      </c>
      <c r="I216" s="2"/>
    </row>
    <row r="217" spans="1:9" x14ac:dyDescent="0.3">
      <c r="A217" s="9">
        <f t="shared" si="29"/>
        <v>51441</v>
      </c>
      <c r="B217" s="2">
        <v>196</v>
      </c>
      <c r="C217" s="4">
        <f t="shared" si="26"/>
        <v>48470.821767342946</v>
      </c>
      <c r="D217" s="6">
        <f t="shared" si="27"/>
        <v>9.5000000000000001E-2</v>
      </c>
      <c r="E217" s="4">
        <f t="shared" si="25"/>
        <v>3974.8884672270283</v>
      </c>
      <c r="F217" s="4"/>
      <c r="G217" s="4">
        <f t="shared" si="28"/>
        <v>44495.933300115918</v>
      </c>
      <c r="H217" s="4">
        <f t="shared" si="24"/>
        <v>457595.24150750868</v>
      </c>
      <c r="I217" s="2"/>
    </row>
    <row r="218" spans="1:9" x14ac:dyDescent="0.3">
      <c r="A218" s="9">
        <f t="shared" si="29"/>
        <v>51471</v>
      </c>
      <c r="B218" s="2">
        <v>197</v>
      </c>
      <c r="C218" s="4">
        <f t="shared" si="26"/>
        <v>48470.821767342946</v>
      </c>
      <c r="D218" s="6">
        <f t="shared" si="27"/>
        <v>9.5000000000000001E-2</v>
      </c>
      <c r="E218" s="4">
        <f t="shared" si="25"/>
        <v>3622.6289952677771</v>
      </c>
      <c r="F218" s="4"/>
      <c r="G218" s="4">
        <f t="shared" si="28"/>
        <v>44848.19277207517</v>
      </c>
      <c r="H218" s="4">
        <f t="shared" si="24"/>
        <v>412747.04873543349</v>
      </c>
      <c r="I218" s="2"/>
    </row>
    <row r="219" spans="1:9" x14ac:dyDescent="0.3">
      <c r="A219" s="9">
        <f t="shared" si="29"/>
        <v>51502</v>
      </c>
      <c r="B219" s="2">
        <v>198</v>
      </c>
      <c r="C219" s="4">
        <f t="shared" si="26"/>
        <v>48470.821767342946</v>
      </c>
      <c r="D219" s="6">
        <f t="shared" si="27"/>
        <v>9.5000000000000001E-2</v>
      </c>
      <c r="E219" s="4">
        <f t="shared" si="25"/>
        <v>3267.5808024888488</v>
      </c>
      <c r="F219" s="4"/>
      <c r="G219" s="4">
        <f t="shared" si="28"/>
        <v>45203.2409648541</v>
      </c>
      <c r="H219" s="4">
        <f t="shared" si="24"/>
        <v>367543.80777057941</v>
      </c>
      <c r="I219" s="2"/>
    </row>
    <row r="220" spans="1:9" x14ac:dyDescent="0.3">
      <c r="A220" s="9">
        <f t="shared" si="29"/>
        <v>51533</v>
      </c>
      <c r="B220" s="2">
        <v>199</v>
      </c>
      <c r="C220" s="4">
        <f t="shared" si="26"/>
        <v>48470.821767342946</v>
      </c>
      <c r="D220" s="6">
        <f t="shared" si="27"/>
        <v>9.5000000000000001E-2</v>
      </c>
      <c r="E220" s="4">
        <f t="shared" si="25"/>
        <v>2909.7218115170872</v>
      </c>
      <c r="F220" s="4"/>
      <c r="G220" s="4">
        <f t="shared" si="28"/>
        <v>45561.099955825863</v>
      </c>
      <c r="H220" s="4">
        <f t="shared" si="24"/>
        <v>321982.70781475352</v>
      </c>
      <c r="I220" s="2"/>
    </row>
    <row r="221" spans="1:9" x14ac:dyDescent="0.3">
      <c r="A221" s="9">
        <f t="shared" si="29"/>
        <v>51561</v>
      </c>
      <c r="B221" s="2">
        <v>200</v>
      </c>
      <c r="C221" s="4">
        <f t="shared" si="26"/>
        <v>48470.821767342946</v>
      </c>
      <c r="D221" s="6">
        <f t="shared" si="27"/>
        <v>9.5000000000000001E-2</v>
      </c>
      <c r="E221" s="4">
        <f t="shared" si="25"/>
        <v>2549.0297702001321</v>
      </c>
      <c r="F221" s="4"/>
      <c r="G221" s="4">
        <f t="shared" si="28"/>
        <v>45921.791997142813</v>
      </c>
      <c r="H221" s="4">
        <f t="shared" si="24"/>
        <v>276060.91581761069</v>
      </c>
      <c r="I221" s="2"/>
    </row>
    <row r="222" spans="1:9" x14ac:dyDescent="0.3">
      <c r="A222" s="9">
        <f t="shared" si="29"/>
        <v>51592</v>
      </c>
      <c r="B222" s="2">
        <v>201</v>
      </c>
      <c r="C222" s="4">
        <f t="shared" si="26"/>
        <v>48470.821767342946</v>
      </c>
      <c r="D222" s="6">
        <f t="shared" si="27"/>
        <v>9.5000000000000001E-2</v>
      </c>
      <c r="E222" s="4">
        <f t="shared" si="25"/>
        <v>2185.4822502227516</v>
      </c>
      <c r="F222" s="4"/>
      <c r="G222" s="4">
        <f t="shared" si="28"/>
        <v>46285.339517120192</v>
      </c>
      <c r="H222" s="4">
        <f t="shared" si="24"/>
        <v>229775.5763004905</v>
      </c>
      <c r="I222" s="2"/>
    </row>
    <row r="223" spans="1:9" x14ac:dyDescent="0.3">
      <c r="A223" s="9">
        <f t="shared" si="29"/>
        <v>51622</v>
      </c>
      <c r="B223" s="2">
        <v>202</v>
      </c>
      <c r="C223" s="4">
        <f t="shared" si="26"/>
        <v>48470.821767342946</v>
      </c>
      <c r="D223" s="6">
        <f t="shared" si="27"/>
        <v>9.5000000000000001E-2</v>
      </c>
      <c r="E223" s="4">
        <f t="shared" si="25"/>
        <v>1819.0566457122166</v>
      </c>
      <c r="F223" s="4"/>
      <c r="G223" s="4">
        <f t="shared" si="28"/>
        <v>46651.765121630728</v>
      </c>
      <c r="H223" s="4">
        <f t="shared" si="24"/>
        <v>183123.81117885979</v>
      </c>
      <c r="I223" s="2"/>
    </row>
    <row r="224" spans="1:9" x14ac:dyDescent="0.3">
      <c r="A224" s="9">
        <f t="shared" si="29"/>
        <v>51653</v>
      </c>
      <c r="B224" s="2">
        <v>203</v>
      </c>
      <c r="C224" s="4">
        <f t="shared" si="26"/>
        <v>48470.821767342946</v>
      </c>
      <c r="D224" s="6">
        <f t="shared" si="27"/>
        <v>9.5000000000000001E-2</v>
      </c>
      <c r="E224" s="4">
        <f t="shared" si="25"/>
        <v>1449.7301718326401</v>
      </c>
      <c r="F224" s="4"/>
      <c r="G224" s="4">
        <f t="shared" si="28"/>
        <v>47021.091595510305</v>
      </c>
      <c r="H224" s="4">
        <f t="shared" si="24"/>
        <v>136102.71958334948</v>
      </c>
      <c r="I224" s="2"/>
    </row>
    <row r="225" spans="1:9" x14ac:dyDescent="0.3">
      <c r="A225" s="9">
        <f t="shared" si="29"/>
        <v>51683</v>
      </c>
      <c r="B225" s="2">
        <v>204</v>
      </c>
      <c r="C225" s="4">
        <f t="shared" si="26"/>
        <v>48470.821767342946</v>
      </c>
      <c r="D225" s="6">
        <f t="shared" si="27"/>
        <v>9.5000000000000001E-2</v>
      </c>
      <c r="E225" s="4">
        <f t="shared" si="25"/>
        <v>1077.4798633681835</v>
      </c>
      <c r="F225" s="4"/>
      <c r="G225" s="4">
        <f t="shared" si="28"/>
        <v>47393.34190397476</v>
      </c>
      <c r="H225" s="4">
        <f t="shared" si="24"/>
        <v>88709.377679374709</v>
      </c>
      <c r="I225" s="2"/>
    </row>
    <row r="226" spans="1:9" x14ac:dyDescent="0.3">
      <c r="A226" s="9">
        <f t="shared" si="29"/>
        <v>51714</v>
      </c>
      <c r="B226" s="2">
        <v>205</v>
      </c>
      <c r="C226" s="4">
        <f t="shared" si="26"/>
        <v>48470.821767342946</v>
      </c>
      <c r="D226" s="6">
        <f t="shared" si="27"/>
        <v>9.5000000000000001E-2</v>
      </c>
      <c r="E226" s="4">
        <f t="shared" si="25"/>
        <v>702.28257329504981</v>
      </c>
      <c r="F226" s="4"/>
      <c r="G226" s="4">
        <f t="shared" si="28"/>
        <v>47768.539194047895</v>
      </c>
      <c r="H226" s="4">
        <f t="shared" si="24"/>
        <v>40940.838485326814</v>
      </c>
      <c r="I226" s="2"/>
    </row>
    <row r="227" spans="1:9" x14ac:dyDescent="0.3">
      <c r="A227" s="9">
        <f t="shared" si="29"/>
        <v>51745</v>
      </c>
      <c r="B227" s="2">
        <v>206</v>
      </c>
      <c r="C227" s="4">
        <f t="shared" si="26"/>
        <v>48470.821767342946</v>
      </c>
      <c r="D227" s="6">
        <f t="shared" si="27"/>
        <v>9.5000000000000001E-2</v>
      </c>
      <c r="E227" s="4">
        <f t="shared" si="25"/>
        <v>324.11497134217063</v>
      </c>
      <c r="F227" s="4"/>
      <c r="G227" s="4">
        <f t="shared" si="28"/>
        <v>48146.706796000777</v>
      </c>
      <c r="H227" s="4">
        <f t="shared" si="24"/>
        <v>0</v>
      </c>
      <c r="I227" s="2"/>
    </row>
    <row r="228" spans="1:9" x14ac:dyDescent="0.3">
      <c r="A228" s="9">
        <f t="shared" si="29"/>
        <v>51775</v>
      </c>
      <c r="B228" s="2">
        <v>207</v>
      </c>
      <c r="C228" s="4">
        <f t="shared" si="26"/>
        <v>0</v>
      </c>
      <c r="D228" s="6">
        <f t="shared" si="27"/>
        <v>9.5000000000000001E-2</v>
      </c>
      <c r="E228" s="4">
        <f t="shared" si="25"/>
        <v>0</v>
      </c>
      <c r="F228" s="4"/>
      <c r="G228" s="4">
        <f t="shared" si="28"/>
        <v>0</v>
      </c>
      <c r="H228" s="4">
        <f t="shared" si="24"/>
        <v>0</v>
      </c>
      <c r="I228" s="2"/>
    </row>
    <row r="229" spans="1:9" x14ac:dyDescent="0.3">
      <c r="A229" s="9">
        <f t="shared" si="29"/>
        <v>51806</v>
      </c>
      <c r="B229" s="2">
        <v>208</v>
      </c>
      <c r="C229" s="4">
        <f t="shared" si="26"/>
        <v>0</v>
      </c>
      <c r="D229" s="6">
        <f t="shared" si="27"/>
        <v>9.5000000000000001E-2</v>
      </c>
      <c r="E229" s="4">
        <f t="shared" si="25"/>
        <v>0</v>
      </c>
      <c r="F229" s="4"/>
      <c r="G229" s="4">
        <f t="shared" si="28"/>
        <v>0</v>
      </c>
      <c r="H229" s="4">
        <f t="shared" si="24"/>
        <v>0</v>
      </c>
      <c r="I229" s="2"/>
    </row>
    <row r="230" spans="1:9" x14ac:dyDescent="0.3">
      <c r="A230" s="9">
        <f t="shared" si="29"/>
        <v>51836</v>
      </c>
      <c r="B230" s="2">
        <v>209</v>
      </c>
      <c r="C230" s="4">
        <f t="shared" si="26"/>
        <v>0</v>
      </c>
      <c r="D230" s="6">
        <f t="shared" si="27"/>
        <v>9.5000000000000001E-2</v>
      </c>
      <c r="E230" s="4">
        <f t="shared" si="25"/>
        <v>0</v>
      </c>
      <c r="F230" s="4"/>
      <c r="G230" s="4">
        <f t="shared" si="28"/>
        <v>0</v>
      </c>
      <c r="H230" s="4">
        <f t="shared" si="24"/>
        <v>0</v>
      </c>
      <c r="I230" s="2"/>
    </row>
    <row r="231" spans="1:9" x14ac:dyDescent="0.3">
      <c r="A231" s="9">
        <f t="shared" si="29"/>
        <v>51867</v>
      </c>
      <c r="B231" s="2">
        <v>210</v>
      </c>
      <c r="C231" s="4">
        <f t="shared" si="26"/>
        <v>0</v>
      </c>
      <c r="D231" s="6">
        <f t="shared" si="27"/>
        <v>9.5000000000000001E-2</v>
      </c>
      <c r="E231" s="4">
        <f t="shared" si="25"/>
        <v>0</v>
      </c>
      <c r="F231" s="4"/>
      <c r="G231" s="4">
        <f t="shared" si="28"/>
        <v>0</v>
      </c>
      <c r="H231" s="4">
        <f t="shared" si="24"/>
        <v>0</v>
      </c>
      <c r="I231" s="2"/>
    </row>
    <row r="232" spans="1:9" x14ac:dyDescent="0.3">
      <c r="A232" s="9">
        <f t="shared" si="29"/>
        <v>51898</v>
      </c>
      <c r="B232" s="2">
        <v>211</v>
      </c>
      <c r="C232" s="4">
        <f t="shared" si="26"/>
        <v>0</v>
      </c>
      <c r="D232" s="6">
        <f t="shared" si="27"/>
        <v>9.5000000000000001E-2</v>
      </c>
      <c r="E232" s="4">
        <f t="shared" si="25"/>
        <v>0</v>
      </c>
      <c r="F232" s="4"/>
      <c r="G232" s="4">
        <f t="shared" si="28"/>
        <v>0</v>
      </c>
      <c r="H232" s="4">
        <f t="shared" si="24"/>
        <v>0</v>
      </c>
      <c r="I232" s="2"/>
    </row>
    <row r="233" spans="1:9" x14ac:dyDescent="0.3">
      <c r="A233" s="9">
        <f t="shared" si="29"/>
        <v>51926</v>
      </c>
      <c r="B233" s="2">
        <v>212</v>
      </c>
      <c r="C233" s="4">
        <f t="shared" si="26"/>
        <v>0</v>
      </c>
      <c r="D233" s="6">
        <f t="shared" si="27"/>
        <v>9.5000000000000001E-2</v>
      </c>
      <c r="E233" s="4">
        <f t="shared" si="25"/>
        <v>0</v>
      </c>
      <c r="F233" s="4"/>
      <c r="G233" s="4">
        <f t="shared" si="28"/>
        <v>0</v>
      </c>
      <c r="H233" s="4">
        <f t="shared" si="24"/>
        <v>0</v>
      </c>
      <c r="I233" s="2"/>
    </row>
    <row r="234" spans="1:9" x14ac:dyDescent="0.3">
      <c r="A234" s="9">
        <f t="shared" si="29"/>
        <v>51957</v>
      </c>
      <c r="B234" s="2">
        <v>213</v>
      </c>
      <c r="C234" s="4">
        <f t="shared" si="26"/>
        <v>0</v>
      </c>
      <c r="D234" s="6">
        <f t="shared" si="27"/>
        <v>9.5000000000000001E-2</v>
      </c>
      <c r="E234" s="4">
        <f t="shared" si="25"/>
        <v>0</v>
      </c>
      <c r="F234" s="4"/>
      <c r="G234" s="4">
        <f t="shared" si="28"/>
        <v>0</v>
      </c>
      <c r="H234" s="4">
        <f t="shared" ref="H234:H261" si="30">IF(H233-G234-I234&lt;0,0,H233-G234-I234)</f>
        <v>0</v>
      </c>
      <c r="I234" s="2"/>
    </row>
    <row r="235" spans="1:9" x14ac:dyDescent="0.3">
      <c r="A235" s="9">
        <f t="shared" si="29"/>
        <v>51987</v>
      </c>
      <c r="B235" s="2">
        <v>214</v>
      </c>
      <c r="C235" s="4">
        <f t="shared" si="26"/>
        <v>0</v>
      </c>
      <c r="D235" s="6">
        <f t="shared" si="27"/>
        <v>9.5000000000000001E-2</v>
      </c>
      <c r="E235" s="4">
        <f t="shared" si="25"/>
        <v>0</v>
      </c>
      <c r="F235" s="4"/>
      <c r="G235" s="4">
        <f t="shared" si="28"/>
        <v>0</v>
      </c>
      <c r="H235" s="4">
        <f t="shared" si="30"/>
        <v>0</v>
      </c>
      <c r="I235" s="2"/>
    </row>
    <row r="236" spans="1:9" x14ac:dyDescent="0.3">
      <c r="A236" s="9">
        <f t="shared" si="29"/>
        <v>52018</v>
      </c>
      <c r="B236" s="2">
        <v>215</v>
      </c>
      <c r="C236" s="4">
        <f t="shared" si="26"/>
        <v>0</v>
      </c>
      <c r="D236" s="6">
        <f t="shared" si="27"/>
        <v>9.5000000000000001E-2</v>
      </c>
      <c r="E236" s="4">
        <f t="shared" si="25"/>
        <v>0</v>
      </c>
      <c r="F236" s="4"/>
      <c r="G236" s="4">
        <f t="shared" si="28"/>
        <v>0</v>
      </c>
      <c r="H236" s="4">
        <f t="shared" si="30"/>
        <v>0</v>
      </c>
      <c r="I236" s="2"/>
    </row>
    <row r="237" spans="1:9" x14ac:dyDescent="0.3">
      <c r="A237" s="9">
        <f t="shared" si="29"/>
        <v>52048</v>
      </c>
      <c r="B237" s="2">
        <v>216</v>
      </c>
      <c r="C237" s="4">
        <f t="shared" si="26"/>
        <v>0</v>
      </c>
      <c r="D237" s="6">
        <f t="shared" si="27"/>
        <v>9.5000000000000001E-2</v>
      </c>
      <c r="E237" s="4">
        <f t="shared" si="25"/>
        <v>0</v>
      </c>
      <c r="F237" s="4"/>
      <c r="G237" s="4">
        <f t="shared" si="28"/>
        <v>0</v>
      </c>
      <c r="H237" s="4">
        <f t="shared" si="30"/>
        <v>0</v>
      </c>
      <c r="I237" s="2"/>
    </row>
    <row r="238" spans="1:9" x14ac:dyDescent="0.3">
      <c r="A238" s="9">
        <f t="shared" si="29"/>
        <v>52079</v>
      </c>
      <c r="B238" s="2">
        <v>217</v>
      </c>
      <c r="C238" s="4">
        <f t="shared" si="26"/>
        <v>0</v>
      </c>
      <c r="D238" s="6">
        <f t="shared" si="27"/>
        <v>9.5000000000000001E-2</v>
      </c>
      <c r="E238" s="4">
        <f t="shared" si="25"/>
        <v>0</v>
      </c>
      <c r="F238" s="4"/>
      <c r="G238" s="4">
        <f t="shared" si="28"/>
        <v>0</v>
      </c>
      <c r="H238" s="4">
        <f t="shared" si="30"/>
        <v>0</v>
      </c>
      <c r="I238" s="2"/>
    </row>
    <row r="239" spans="1:9" x14ac:dyDescent="0.3">
      <c r="A239" s="9">
        <f t="shared" si="29"/>
        <v>52110</v>
      </c>
      <c r="B239" s="2">
        <v>218</v>
      </c>
      <c r="C239" s="4">
        <f t="shared" si="26"/>
        <v>0</v>
      </c>
      <c r="D239" s="6">
        <f t="shared" si="27"/>
        <v>9.5000000000000001E-2</v>
      </c>
      <c r="E239" s="4">
        <f t="shared" si="25"/>
        <v>0</v>
      </c>
      <c r="F239" s="4"/>
      <c r="G239" s="4">
        <f t="shared" si="28"/>
        <v>0</v>
      </c>
      <c r="H239" s="4">
        <f t="shared" si="30"/>
        <v>0</v>
      </c>
      <c r="I239" s="2"/>
    </row>
    <row r="240" spans="1:9" x14ac:dyDescent="0.3">
      <c r="A240" s="9">
        <f t="shared" si="29"/>
        <v>52140</v>
      </c>
      <c r="B240" s="2">
        <v>219</v>
      </c>
      <c r="C240" s="4">
        <f t="shared" si="26"/>
        <v>0</v>
      </c>
      <c r="D240" s="6">
        <f t="shared" si="27"/>
        <v>9.5000000000000001E-2</v>
      </c>
      <c r="E240" s="4">
        <f t="shared" si="25"/>
        <v>0</v>
      </c>
      <c r="F240" s="4"/>
      <c r="G240" s="4">
        <f t="shared" si="28"/>
        <v>0</v>
      </c>
      <c r="H240" s="4">
        <f t="shared" si="30"/>
        <v>0</v>
      </c>
      <c r="I240" s="2"/>
    </row>
    <row r="241" spans="1:9" x14ac:dyDescent="0.3">
      <c r="A241" s="9">
        <f t="shared" si="29"/>
        <v>52171</v>
      </c>
      <c r="B241" s="2">
        <v>220</v>
      </c>
      <c r="C241" s="4">
        <f t="shared" si="26"/>
        <v>0</v>
      </c>
      <c r="D241" s="6">
        <f t="shared" si="27"/>
        <v>9.5000000000000001E-2</v>
      </c>
      <c r="E241" s="4">
        <f t="shared" si="25"/>
        <v>0</v>
      </c>
      <c r="F241" s="4"/>
      <c r="G241" s="4">
        <f t="shared" si="28"/>
        <v>0</v>
      </c>
      <c r="H241" s="4">
        <f t="shared" si="30"/>
        <v>0</v>
      </c>
      <c r="I241" s="2"/>
    </row>
    <row r="242" spans="1:9" x14ac:dyDescent="0.3">
      <c r="A242" s="9">
        <f t="shared" si="29"/>
        <v>52201</v>
      </c>
      <c r="B242" s="2">
        <v>221</v>
      </c>
      <c r="C242" s="4">
        <f t="shared" si="26"/>
        <v>0</v>
      </c>
      <c r="D242" s="6">
        <f t="shared" si="27"/>
        <v>9.5000000000000001E-2</v>
      </c>
      <c r="E242" s="4">
        <f t="shared" si="25"/>
        <v>0</v>
      </c>
      <c r="F242" s="4"/>
      <c r="G242" s="4">
        <f t="shared" si="28"/>
        <v>0</v>
      </c>
      <c r="H242" s="4">
        <f t="shared" si="30"/>
        <v>0</v>
      </c>
      <c r="I242" s="2"/>
    </row>
    <row r="243" spans="1:9" x14ac:dyDescent="0.3">
      <c r="A243" s="9">
        <f t="shared" si="29"/>
        <v>52232</v>
      </c>
      <c r="B243" s="2">
        <v>222</v>
      </c>
      <c r="C243" s="4">
        <f t="shared" si="26"/>
        <v>0</v>
      </c>
      <c r="D243" s="6">
        <f t="shared" si="27"/>
        <v>9.5000000000000001E-2</v>
      </c>
      <c r="E243" s="4">
        <f t="shared" si="25"/>
        <v>0</v>
      </c>
      <c r="F243" s="4"/>
      <c r="G243" s="4">
        <f t="shared" si="28"/>
        <v>0</v>
      </c>
      <c r="H243" s="4">
        <f t="shared" si="30"/>
        <v>0</v>
      </c>
      <c r="I243" s="2"/>
    </row>
    <row r="244" spans="1:9" x14ac:dyDescent="0.3">
      <c r="A244" s="9">
        <f t="shared" si="29"/>
        <v>52263</v>
      </c>
      <c r="B244" s="2">
        <v>223</v>
      </c>
      <c r="C244" s="4">
        <f t="shared" si="26"/>
        <v>0</v>
      </c>
      <c r="D244" s="6">
        <f t="shared" si="27"/>
        <v>9.5000000000000001E-2</v>
      </c>
      <c r="E244" s="4">
        <f t="shared" si="25"/>
        <v>0</v>
      </c>
      <c r="F244" s="4"/>
      <c r="G244" s="4">
        <f t="shared" si="28"/>
        <v>0</v>
      </c>
      <c r="H244" s="4">
        <f t="shared" si="30"/>
        <v>0</v>
      </c>
      <c r="I244" s="2"/>
    </row>
    <row r="245" spans="1:9" x14ac:dyDescent="0.3">
      <c r="A245" s="9">
        <f t="shared" si="29"/>
        <v>52291</v>
      </c>
      <c r="B245" s="2">
        <v>224</v>
      </c>
      <c r="C245" s="4">
        <f t="shared" si="26"/>
        <v>0</v>
      </c>
      <c r="D245" s="6">
        <f t="shared" si="27"/>
        <v>9.5000000000000001E-2</v>
      </c>
      <c r="E245" s="4">
        <f t="shared" si="25"/>
        <v>0</v>
      </c>
      <c r="F245" s="4"/>
      <c r="G245" s="4">
        <f t="shared" si="28"/>
        <v>0</v>
      </c>
      <c r="H245" s="4">
        <f t="shared" si="30"/>
        <v>0</v>
      </c>
      <c r="I245" s="2"/>
    </row>
    <row r="246" spans="1:9" x14ac:dyDescent="0.3">
      <c r="A246" s="9">
        <f t="shared" si="29"/>
        <v>52322</v>
      </c>
      <c r="B246" s="2">
        <v>225</v>
      </c>
      <c r="C246" s="4">
        <f t="shared" si="26"/>
        <v>0</v>
      </c>
      <c r="D246" s="6">
        <f t="shared" si="27"/>
        <v>9.5000000000000001E-2</v>
      </c>
      <c r="E246" s="4">
        <f t="shared" si="25"/>
        <v>0</v>
      </c>
      <c r="F246" s="4"/>
      <c r="G246" s="4">
        <f t="shared" si="28"/>
        <v>0</v>
      </c>
      <c r="H246" s="4">
        <f t="shared" si="30"/>
        <v>0</v>
      </c>
      <c r="I246" s="2"/>
    </row>
    <row r="247" spans="1:9" x14ac:dyDescent="0.3">
      <c r="A247" s="9">
        <f t="shared" si="29"/>
        <v>52352</v>
      </c>
      <c r="B247" s="2">
        <v>226</v>
      </c>
      <c r="C247" s="4">
        <f t="shared" si="26"/>
        <v>0</v>
      </c>
      <c r="D247" s="6">
        <f t="shared" si="27"/>
        <v>9.5000000000000001E-2</v>
      </c>
      <c r="E247" s="4">
        <f t="shared" si="25"/>
        <v>0</v>
      </c>
      <c r="F247" s="4"/>
      <c r="G247" s="4">
        <f t="shared" si="28"/>
        <v>0</v>
      </c>
      <c r="H247" s="4">
        <f t="shared" si="30"/>
        <v>0</v>
      </c>
      <c r="I247" s="2"/>
    </row>
    <row r="248" spans="1:9" x14ac:dyDescent="0.3">
      <c r="A248" s="9">
        <f t="shared" si="29"/>
        <v>52383</v>
      </c>
      <c r="B248" s="2">
        <v>227</v>
      </c>
      <c r="C248" s="4">
        <f t="shared" si="26"/>
        <v>0</v>
      </c>
      <c r="D248" s="6">
        <f t="shared" si="27"/>
        <v>9.5000000000000001E-2</v>
      </c>
      <c r="E248" s="4">
        <f t="shared" si="25"/>
        <v>0</v>
      </c>
      <c r="F248" s="4"/>
      <c r="G248" s="4">
        <f t="shared" si="28"/>
        <v>0</v>
      </c>
      <c r="H248" s="4">
        <f t="shared" si="30"/>
        <v>0</v>
      </c>
      <c r="I248" s="2"/>
    </row>
    <row r="249" spans="1:9" x14ac:dyDescent="0.3">
      <c r="A249" s="9">
        <f t="shared" si="29"/>
        <v>52413</v>
      </c>
      <c r="B249" s="2">
        <v>228</v>
      </c>
      <c r="C249" s="4">
        <f t="shared" si="26"/>
        <v>0</v>
      </c>
      <c r="D249" s="6">
        <f t="shared" si="27"/>
        <v>9.5000000000000001E-2</v>
      </c>
      <c r="E249" s="4">
        <f t="shared" si="25"/>
        <v>0</v>
      </c>
      <c r="F249" s="4"/>
      <c r="G249" s="4">
        <f t="shared" si="28"/>
        <v>0</v>
      </c>
      <c r="H249" s="4">
        <f t="shared" si="30"/>
        <v>0</v>
      </c>
      <c r="I249" s="2"/>
    </row>
    <row r="250" spans="1:9" x14ac:dyDescent="0.3">
      <c r="A250" s="9">
        <f t="shared" si="29"/>
        <v>52444</v>
      </c>
      <c r="B250" s="2">
        <v>229</v>
      </c>
      <c r="C250" s="4">
        <f t="shared" si="26"/>
        <v>0</v>
      </c>
      <c r="D250" s="6">
        <f t="shared" si="27"/>
        <v>9.5000000000000001E-2</v>
      </c>
      <c r="E250" s="4">
        <f t="shared" si="25"/>
        <v>0</v>
      </c>
      <c r="F250" s="4"/>
      <c r="G250" s="4">
        <f t="shared" si="28"/>
        <v>0</v>
      </c>
      <c r="H250" s="4">
        <f t="shared" si="30"/>
        <v>0</v>
      </c>
      <c r="I250" s="2"/>
    </row>
    <row r="251" spans="1:9" x14ac:dyDescent="0.3">
      <c r="A251" s="9">
        <f t="shared" si="29"/>
        <v>52475</v>
      </c>
      <c r="B251" s="2">
        <v>230</v>
      </c>
      <c r="C251" s="4">
        <f t="shared" si="26"/>
        <v>0</v>
      </c>
      <c r="D251" s="6">
        <f t="shared" si="27"/>
        <v>9.5000000000000001E-2</v>
      </c>
      <c r="E251" s="4">
        <f t="shared" si="25"/>
        <v>0</v>
      </c>
      <c r="F251" s="4"/>
      <c r="G251" s="4">
        <f t="shared" si="28"/>
        <v>0</v>
      </c>
      <c r="H251" s="4">
        <f t="shared" si="30"/>
        <v>0</v>
      </c>
      <c r="I251" s="2"/>
    </row>
    <row r="252" spans="1:9" x14ac:dyDescent="0.3">
      <c r="A252" s="9">
        <f t="shared" si="29"/>
        <v>52505</v>
      </c>
      <c r="B252" s="2">
        <v>231</v>
      </c>
      <c r="C252" s="4">
        <f t="shared" si="26"/>
        <v>0</v>
      </c>
      <c r="D252" s="6">
        <f t="shared" si="27"/>
        <v>9.5000000000000001E-2</v>
      </c>
      <c r="E252" s="4">
        <f t="shared" si="25"/>
        <v>0</v>
      </c>
      <c r="F252" s="4"/>
      <c r="G252" s="4">
        <f t="shared" si="28"/>
        <v>0</v>
      </c>
      <c r="H252" s="4">
        <f t="shared" si="30"/>
        <v>0</v>
      </c>
      <c r="I252" s="2"/>
    </row>
    <row r="253" spans="1:9" x14ac:dyDescent="0.3">
      <c r="A253" s="9">
        <f t="shared" si="29"/>
        <v>52536</v>
      </c>
      <c r="B253" s="2">
        <v>232</v>
      </c>
      <c r="C253" s="4">
        <f t="shared" si="26"/>
        <v>0</v>
      </c>
      <c r="D253" s="6">
        <f t="shared" si="27"/>
        <v>9.5000000000000001E-2</v>
      </c>
      <c r="E253" s="4">
        <f t="shared" si="25"/>
        <v>0</v>
      </c>
      <c r="F253" s="4"/>
      <c r="G253" s="4">
        <f t="shared" si="28"/>
        <v>0</v>
      </c>
      <c r="H253" s="4">
        <f t="shared" si="30"/>
        <v>0</v>
      </c>
      <c r="I253" s="2"/>
    </row>
    <row r="254" spans="1:9" x14ac:dyDescent="0.3">
      <c r="A254" s="9">
        <f t="shared" si="29"/>
        <v>52566</v>
      </c>
      <c r="B254" s="2">
        <v>233</v>
      </c>
      <c r="C254" s="4">
        <f t="shared" si="26"/>
        <v>0</v>
      </c>
      <c r="D254" s="6">
        <f t="shared" si="27"/>
        <v>9.5000000000000001E-2</v>
      </c>
      <c r="E254" s="4">
        <f t="shared" si="25"/>
        <v>0</v>
      </c>
      <c r="F254" s="4"/>
      <c r="G254" s="4">
        <f t="shared" si="28"/>
        <v>0</v>
      </c>
      <c r="H254" s="4">
        <f t="shared" si="30"/>
        <v>0</v>
      </c>
      <c r="I254" s="2"/>
    </row>
    <row r="255" spans="1:9" x14ac:dyDescent="0.3">
      <c r="A255" s="9">
        <f t="shared" si="29"/>
        <v>52597</v>
      </c>
      <c r="B255" s="2">
        <v>234</v>
      </c>
      <c r="C255" s="4">
        <f t="shared" si="26"/>
        <v>0</v>
      </c>
      <c r="D255" s="6">
        <f t="shared" si="27"/>
        <v>9.5000000000000001E-2</v>
      </c>
      <c r="E255" s="4">
        <f t="shared" si="25"/>
        <v>0</v>
      </c>
      <c r="F255" s="4"/>
      <c r="G255" s="4">
        <f t="shared" si="28"/>
        <v>0</v>
      </c>
      <c r="H255" s="4">
        <f t="shared" si="30"/>
        <v>0</v>
      </c>
      <c r="I255" s="2"/>
    </row>
    <row r="256" spans="1:9" x14ac:dyDescent="0.3">
      <c r="A256" s="9">
        <f t="shared" si="29"/>
        <v>52628</v>
      </c>
      <c r="B256" s="2">
        <v>235</v>
      </c>
      <c r="C256" s="4">
        <f t="shared" si="26"/>
        <v>0</v>
      </c>
      <c r="D256" s="6">
        <f t="shared" si="27"/>
        <v>9.5000000000000001E-2</v>
      </c>
      <c r="E256" s="4">
        <f t="shared" si="25"/>
        <v>0</v>
      </c>
      <c r="F256" s="4"/>
      <c r="G256" s="4">
        <f t="shared" si="28"/>
        <v>0</v>
      </c>
      <c r="H256" s="4">
        <f t="shared" si="30"/>
        <v>0</v>
      </c>
      <c r="I256" s="2"/>
    </row>
    <row r="257" spans="1:9" x14ac:dyDescent="0.3">
      <c r="A257" s="9">
        <f t="shared" si="29"/>
        <v>52657</v>
      </c>
      <c r="B257" s="2">
        <v>236</v>
      </c>
      <c r="C257" s="4">
        <f t="shared" si="26"/>
        <v>0</v>
      </c>
      <c r="D257" s="6">
        <f t="shared" si="27"/>
        <v>9.5000000000000001E-2</v>
      </c>
      <c r="E257" s="4">
        <f t="shared" si="25"/>
        <v>0</v>
      </c>
      <c r="F257" s="4"/>
      <c r="G257" s="4">
        <f t="shared" si="28"/>
        <v>0</v>
      </c>
      <c r="H257" s="4">
        <f t="shared" si="30"/>
        <v>0</v>
      </c>
      <c r="I257" s="2"/>
    </row>
    <row r="258" spans="1:9" x14ac:dyDescent="0.3">
      <c r="A258" s="9">
        <f t="shared" si="29"/>
        <v>52688</v>
      </c>
      <c r="B258" s="2">
        <v>237</v>
      </c>
      <c r="C258" s="4">
        <f t="shared" si="26"/>
        <v>0</v>
      </c>
      <c r="D258" s="6">
        <f t="shared" si="27"/>
        <v>9.5000000000000001E-2</v>
      </c>
      <c r="E258" s="4">
        <f t="shared" si="25"/>
        <v>0</v>
      </c>
      <c r="F258" s="4"/>
      <c r="G258" s="4">
        <f t="shared" si="28"/>
        <v>0</v>
      </c>
      <c r="H258" s="4">
        <f t="shared" si="30"/>
        <v>0</v>
      </c>
      <c r="I258" s="2"/>
    </row>
    <row r="259" spans="1:9" x14ac:dyDescent="0.3">
      <c r="A259" s="9">
        <f t="shared" si="29"/>
        <v>52718</v>
      </c>
      <c r="B259" s="2">
        <v>238</v>
      </c>
      <c r="C259" s="4">
        <f t="shared" si="26"/>
        <v>0</v>
      </c>
      <c r="D259" s="6">
        <f t="shared" si="27"/>
        <v>9.5000000000000001E-2</v>
      </c>
      <c r="E259" s="4">
        <f t="shared" si="25"/>
        <v>0</v>
      </c>
      <c r="F259" s="4"/>
      <c r="G259" s="4">
        <f t="shared" si="28"/>
        <v>0</v>
      </c>
      <c r="H259" s="4">
        <f t="shared" si="30"/>
        <v>0</v>
      </c>
      <c r="I259" s="2"/>
    </row>
    <row r="260" spans="1:9" x14ac:dyDescent="0.3">
      <c r="A260" s="9">
        <f t="shared" si="29"/>
        <v>52749</v>
      </c>
      <c r="B260" s="2">
        <v>239</v>
      </c>
      <c r="C260" s="4">
        <f t="shared" si="26"/>
        <v>0</v>
      </c>
      <c r="D260" s="6">
        <f t="shared" si="27"/>
        <v>9.5000000000000001E-2</v>
      </c>
      <c r="E260" s="4">
        <f t="shared" si="25"/>
        <v>0</v>
      </c>
      <c r="F260" s="4"/>
      <c r="G260" s="4">
        <f t="shared" si="28"/>
        <v>0</v>
      </c>
      <c r="H260" s="4">
        <f t="shared" si="30"/>
        <v>0</v>
      </c>
      <c r="I260" s="2"/>
    </row>
    <row r="261" spans="1:9" x14ac:dyDescent="0.3">
      <c r="A261" s="9">
        <f t="shared" si="29"/>
        <v>52779</v>
      </c>
      <c r="B261" s="7">
        <v>240</v>
      </c>
      <c r="C261" s="4">
        <f t="shared" si="26"/>
        <v>0</v>
      </c>
      <c r="D261" s="6">
        <f t="shared" si="27"/>
        <v>9.5000000000000001E-2</v>
      </c>
      <c r="E261" s="8">
        <f t="shared" si="25"/>
        <v>0</v>
      </c>
      <c r="F261" s="8"/>
      <c r="G261" s="8">
        <f t="shared" si="28"/>
        <v>0</v>
      </c>
      <c r="H261" s="8">
        <f t="shared" si="30"/>
        <v>0</v>
      </c>
      <c r="I261" s="7"/>
    </row>
    <row r="262" spans="1:9" ht="28.8" x14ac:dyDescent="0.3">
      <c r="A262" s="9"/>
      <c r="B262" s="2"/>
      <c r="C262" s="2"/>
      <c r="D262" s="6"/>
      <c r="E262" s="10" t="s">
        <v>9</v>
      </c>
      <c r="F262" s="10"/>
      <c r="G262" s="10" t="s">
        <v>10</v>
      </c>
      <c r="H262" s="4"/>
      <c r="I262" s="2"/>
    </row>
    <row r="263" spans="1:9" x14ac:dyDescent="0.3">
      <c r="A263" s="2"/>
      <c r="B263" s="2"/>
      <c r="C263" s="2"/>
      <c r="D263" s="2"/>
      <c r="E263" s="13">
        <f>SUM(E22:E261)</f>
        <v>5077783.4157619663</v>
      </c>
      <c r="F263" s="13"/>
      <c r="G263" s="13">
        <f>SUM(SUMIFS(G22:G261,H22:H261,"&gt;=0")+SUMIFS(I21:I261,I21:I261,"&lt;&gt;"+SUMIFS(#REF!,#REF!,"&lt;&gt;")))</f>
        <v>4907205.8683106788</v>
      </c>
      <c r="H263" s="2"/>
      <c r="I263" s="2"/>
    </row>
    <row r="264" spans="1:9" x14ac:dyDescent="0.3">
      <c r="F264" s="12"/>
      <c r="G264" s="1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cf48bba-4d6f-4dee-a0d2-7df59cc36629}" enabled="0" method="" siteId="{bcf48bba-4d6f-4dee-a0d2-7df59cc36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Tennure calulation Sheet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Philips</dc:creator>
  <cp:lastModifiedBy>Kumar, Aditya</cp:lastModifiedBy>
  <dcterms:created xsi:type="dcterms:W3CDTF">2018-04-09T04:25:01Z</dcterms:created>
  <dcterms:modified xsi:type="dcterms:W3CDTF">2026-10-15T05:36:28Z</dcterms:modified>
</cp:coreProperties>
</file>